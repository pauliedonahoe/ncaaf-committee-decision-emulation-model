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alidation - Code Output" sheetId="1" r:id="rId5"/>
    <sheet name="Matrix Output" sheetId="2" r:id="rId6"/>
    <sheet name="Opponent List" sheetId="3" r:id="rId7"/>
    <sheet name="Rating Lookup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<sst xmlns="http://schemas.openxmlformats.org/spreadsheetml/2006/main" uniqueCount="296">
  <si>
    <t>Table 1</t>
  </si>
  <si>
    <t>Rank</t>
  </si>
  <si>
    <t>Team</t>
  </si>
  <si>
    <t>Rating - Code Output</t>
  </si>
  <si>
    <t>Rating - Manual in Excel</t>
  </si>
  <si>
    <t>Notre Dame</t>
  </si>
  <si>
    <t>Florida</t>
  </si>
  <si>
    <t>Oregon</t>
  </si>
  <si>
    <t>USC</t>
  </si>
  <si>
    <t>SMU</t>
  </si>
  <si>
    <t>Texas</t>
  </si>
  <si>
    <t>Oklahoma</t>
  </si>
  <si>
    <t>Texas Tech</t>
  </si>
  <si>
    <t>Georgia</t>
  </si>
  <si>
    <t>Mississippi</t>
  </si>
  <si>
    <t>Utah</t>
  </si>
  <si>
    <t>Ohio St</t>
  </si>
  <si>
    <t>Alabama</t>
  </si>
  <si>
    <t>Miami</t>
  </si>
  <si>
    <t>Illinois</t>
  </si>
  <si>
    <t>Kansas</t>
  </si>
  <si>
    <t>Tulane</t>
  </si>
  <si>
    <t>Toledo</t>
  </si>
  <si>
    <t>Iowa St</t>
  </si>
  <si>
    <t>Louisville</t>
  </si>
  <si>
    <t>Texas A&amp;M</t>
  </si>
  <si>
    <t>Missouri</t>
  </si>
  <si>
    <t>Georgia Tech</t>
  </si>
  <si>
    <t>Michigan</t>
  </si>
  <si>
    <t>Tennessee</t>
  </si>
  <si>
    <t>Vanderbilt</t>
  </si>
  <si>
    <t>LSU</t>
  </si>
  <si>
    <t>Florida St</t>
  </si>
  <si>
    <t>TCU</t>
  </si>
  <si>
    <t>Mississippi St</t>
  </si>
  <si>
    <t>West Virginia</t>
  </si>
  <si>
    <t>N Texas</t>
  </si>
  <si>
    <t>Navy</t>
  </si>
  <si>
    <t>Duke</t>
  </si>
  <si>
    <t>Penn St</t>
  </si>
  <si>
    <t>Virginia</t>
  </si>
  <si>
    <t>Iowa</t>
  </si>
  <si>
    <t>South Carolina</t>
  </si>
  <si>
    <t>Clemson</t>
  </si>
  <si>
    <t>Auburn</t>
  </si>
  <si>
    <t>Pittsburgh</t>
  </si>
  <si>
    <t>Arizona St</t>
  </si>
  <si>
    <t>San Diego St</t>
  </si>
  <si>
    <t>Buffalo</t>
  </si>
  <si>
    <t>Washington</t>
  </si>
  <si>
    <t>Wisconsin</t>
  </si>
  <si>
    <t>Nebraska</t>
  </si>
  <si>
    <t>Arizona</t>
  </si>
  <si>
    <t>UTSA</t>
  </si>
  <si>
    <t>New Mexico</t>
  </si>
  <si>
    <t>Memphis</t>
  </si>
  <si>
    <t>BYU</t>
  </si>
  <si>
    <t>Kentucky</t>
  </si>
  <si>
    <t>Cincinnati</t>
  </si>
  <si>
    <t>W Michigan</t>
  </si>
  <si>
    <t>Wake Forest</t>
  </si>
  <si>
    <t>Indiana</t>
  </si>
  <si>
    <t>Boise St</t>
  </si>
  <si>
    <t>NC State</t>
  </si>
  <si>
    <t>S Florida</t>
  </si>
  <si>
    <t>Maryland</t>
  </si>
  <si>
    <t>UConn</t>
  </si>
  <si>
    <t>Kansas St</t>
  </si>
  <si>
    <t>E Carolina</t>
  </si>
  <si>
    <t>UNLV</t>
  </si>
  <si>
    <t>Old Dominion</t>
  </si>
  <si>
    <t>California</t>
  </si>
  <si>
    <t>UCLA</t>
  </si>
  <si>
    <t>Stanford</t>
  </si>
  <si>
    <t>Boston College</t>
  </si>
  <si>
    <t>Army</t>
  </si>
  <si>
    <t>Georgia So</t>
  </si>
  <si>
    <t>Arkansas</t>
  </si>
  <si>
    <t>Texas St</t>
  </si>
  <si>
    <t>North Carolina</t>
  </si>
  <si>
    <t>Michigan St</t>
  </si>
  <si>
    <t>Minnesota</t>
  </si>
  <si>
    <t>Virginia Tech</t>
  </si>
  <si>
    <t>Ohio</t>
  </si>
  <si>
    <t>Marshall</t>
  </si>
  <si>
    <t>Northwestern</t>
  </si>
  <si>
    <t>Air Force</t>
  </si>
  <si>
    <t>Miami OH</t>
  </si>
  <si>
    <t>Louisiana Tech</t>
  </si>
  <si>
    <t>Rutgers</t>
  </si>
  <si>
    <t>Liberty</t>
  </si>
  <si>
    <t>Purdue</t>
  </si>
  <si>
    <t>E Michigan</t>
  </si>
  <si>
    <t>Washington St</t>
  </si>
  <si>
    <t>Louisiana</t>
  </si>
  <si>
    <t>Colorado</t>
  </si>
  <si>
    <t>W Kentucky</t>
  </si>
  <si>
    <t>Hawai'i</t>
  </si>
  <si>
    <t>Tulsa</t>
  </si>
  <si>
    <t>UTEP</t>
  </si>
  <si>
    <t>UCF</t>
  </si>
  <si>
    <t>Arkansas St</t>
  </si>
  <si>
    <t>Baylor</t>
  </si>
  <si>
    <t>San Jose St</t>
  </si>
  <si>
    <t>Florida Atlantic</t>
  </si>
  <si>
    <t>Florida Intl</t>
  </si>
  <si>
    <t>New Mexico St</t>
  </si>
  <si>
    <t>Troy</t>
  </si>
  <si>
    <t>S Alabama</t>
  </si>
  <si>
    <t>Missouri St</t>
  </si>
  <si>
    <t>Fresno St</t>
  </si>
  <si>
    <t>Jacksonville St</t>
  </si>
  <si>
    <t>J Madison</t>
  </si>
  <si>
    <t>Oregon St</t>
  </si>
  <si>
    <t>Oklahoma St</t>
  </si>
  <si>
    <t>Temple</t>
  </si>
  <si>
    <t>Delaware</t>
  </si>
  <si>
    <t>C Michigan</t>
  </si>
  <si>
    <t>Houston</t>
  </si>
  <si>
    <t>Southern Miss</t>
  </si>
  <si>
    <t>Kennesaw St</t>
  </si>
  <si>
    <t>Nevada</t>
  </si>
  <si>
    <t>App State</t>
  </si>
  <si>
    <t>Colorado St</t>
  </si>
  <si>
    <t>N Illinois</t>
  </si>
  <si>
    <t>Syracuse</t>
  </si>
  <si>
    <t>Charlotte</t>
  </si>
  <si>
    <t>Coastal Car</t>
  </si>
  <si>
    <t>Wyoming</t>
  </si>
  <si>
    <t>Kent St</t>
  </si>
  <si>
    <t>UL Monroe</t>
  </si>
  <si>
    <t>UAB</t>
  </si>
  <si>
    <t>Utah St</t>
  </si>
  <si>
    <t>Georgia St</t>
  </si>
  <si>
    <t>Sam Houston</t>
  </si>
  <si>
    <t>Rice</t>
  </si>
  <si>
    <t>Akron</t>
  </si>
  <si>
    <t>Bowling Green</t>
  </si>
  <si>
    <t>Middle Tenn</t>
  </si>
  <si>
    <t>Ball St</t>
  </si>
  <si>
    <t>UMass</t>
  </si>
  <si>
    <t>Air Force </t>
  </si>
  <si>
    <t>Akron </t>
  </si>
  <si>
    <t>Alabama </t>
  </si>
  <si>
    <t>App State </t>
  </si>
  <si>
    <t>Arizona St </t>
  </si>
  <si>
    <t>Arizona </t>
  </si>
  <si>
    <t>Arkansas St </t>
  </si>
  <si>
    <t>Arkansas </t>
  </si>
  <si>
    <t>Army </t>
  </si>
  <si>
    <t>Auburn </t>
  </si>
  <si>
    <t>BYU </t>
  </si>
  <si>
    <t>Ball St </t>
  </si>
  <si>
    <t>Baylor </t>
  </si>
  <si>
    <t>Boise St </t>
  </si>
  <si>
    <t>Boston College </t>
  </si>
  <si>
    <t>Bowling Green </t>
  </si>
  <si>
    <t>Buffalo </t>
  </si>
  <si>
    <t>C Michigan </t>
  </si>
  <si>
    <t>California </t>
  </si>
  <si>
    <t>Charlotte </t>
  </si>
  <si>
    <t>Cincinnati </t>
  </si>
  <si>
    <t>Clemson </t>
  </si>
  <si>
    <t>Coastal Car </t>
  </si>
  <si>
    <t>Colorado St </t>
  </si>
  <si>
    <t>Colorado </t>
  </si>
  <si>
    <t>Delaware </t>
  </si>
  <si>
    <t>Duke </t>
  </si>
  <si>
    <t>E Carolina </t>
  </si>
  <si>
    <t>E Michigan </t>
  </si>
  <si>
    <t>Florida Atlantic </t>
  </si>
  <si>
    <t>Florida Intl </t>
  </si>
  <si>
    <t>Florida St </t>
  </si>
  <si>
    <t>Florida </t>
  </si>
  <si>
    <t>Fresno St </t>
  </si>
  <si>
    <t>Georgia So </t>
  </si>
  <si>
    <t>Georgia St </t>
  </si>
  <si>
    <t>Georgia Tech </t>
  </si>
  <si>
    <t>Georgia </t>
  </si>
  <si>
    <t>Hawai'i </t>
  </si>
  <si>
    <t>Houston </t>
  </si>
  <si>
    <t>Illinois </t>
  </si>
  <si>
    <t>Indiana </t>
  </si>
  <si>
    <t>Iowa St </t>
  </si>
  <si>
    <t>Iowa </t>
  </si>
  <si>
    <t>J Madison </t>
  </si>
  <si>
    <t>Jacksonville St </t>
  </si>
  <si>
    <t>Kansas St </t>
  </si>
  <si>
    <t>Kansas </t>
  </si>
  <si>
    <t>Kennesaw St </t>
  </si>
  <si>
    <t>Kent St </t>
  </si>
  <si>
    <t>Kentucky </t>
  </si>
  <si>
    <t>LSU </t>
  </si>
  <si>
    <t>Liberty </t>
  </si>
  <si>
    <t>Louisiana Tech </t>
  </si>
  <si>
    <t>Louisiana </t>
  </si>
  <si>
    <t>Louisville </t>
  </si>
  <si>
    <t>Marshall </t>
  </si>
  <si>
    <t>Maryland </t>
  </si>
  <si>
    <t>Memphis </t>
  </si>
  <si>
    <t>Miami OH </t>
  </si>
  <si>
    <t>Miami </t>
  </si>
  <si>
    <t>Michigan St </t>
  </si>
  <si>
    <t>Michigan </t>
  </si>
  <si>
    <t>Middle Tenn </t>
  </si>
  <si>
    <t>Minnesota </t>
  </si>
  <si>
    <t>Mississippi St </t>
  </si>
  <si>
    <t>Mississippi </t>
  </si>
  <si>
    <t>Missouri St </t>
  </si>
  <si>
    <t>Missouri </t>
  </si>
  <si>
    <t>N Illinois </t>
  </si>
  <si>
    <t>N Texas </t>
  </si>
  <si>
    <t>NC State </t>
  </si>
  <si>
    <t>Navy </t>
  </si>
  <si>
    <t>Nebraska </t>
  </si>
  <si>
    <t>Nevada </t>
  </si>
  <si>
    <t>New Mexico St </t>
  </si>
  <si>
    <t>New Mexico </t>
  </si>
  <si>
    <t>North Carolina </t>
  </si>
  <si>
    <t>Northwestern </t>
  </si>
  <si>
    <t>Notre Dame </t>
  </si>
  <si>
    <t>Ohio St </t>
  </si>
  <si>
    <t>Ohio </t>
  </si>
  <si>
    <t>Oklahoma St </t>
  </si>
  <si>
    <t>Oklahoma </t>
  </si>
  <si>
    <t>Old Dominion </t>
  </si>
  <si>
    <t>Oregon St </t>
  </si>
  <si>
    <t>Oregon </t>
  </si>
  <si>
    <t>Penn St </t>
  </si>
  <si>
    <t>Pittsburgh </t>
  </si>
  <si>
    <t>Purdue </t>
  </si>
  <si>
    <t>Rice </t>
  </si>
  <si>
    <t>Rutgers </t>
  </si>
  <si>
    <t>S Alabama </t>
  </si>
  <si>
    <t>S Florida </t>
  </si>
  <si>
    <t>SMU </t>
  </si>
  <si>
    <t>Sam Houston </t>
  </si>
  <si>
    <t>San Diego St </t>
  </si>
  <si>
    <t>San Jose St </t>
  </si>
  <si>
    <t>South Carolina </t>
  </si>
  <si>
    <t>Southern Miss </t>
  </si>
  <si>
    <t>Stanford </t>
  </si>
  <si>
    <t>Syracuse </t>
  </si>
  <si>
    <t>TCU </t>
  </si>
  <si>
    <t>Temple </t>
  </si>
  <si>
    <t>Tennessee </t>
  </si>
  <si>
    <t>Texas A&amp;M </t>
  </si>
  <si>
    <t>Texas St </t>
  </si>
  <si>
    <t>Texas Tech </t>
  </si>
  <si>
    <t>Texas </t>
  </si>
  <si>
    <t>Toledo </t>
  </si>
  <si>
    <t>Troy </t>
  </si>
  <si>
    <t>Tulane </t>
  </si>
  <si>
    <t>Tulsa </t>
  </si>
  <si>
    <t>UAB </t>
  </si>
  <si>
    <t>UCF </t>
  </si>
  <si>
    <t>UCLA </t>
  </si>
  <si>
    <t>UConn </t>
  </si>
  <si>
    <t>UL Monroe </t>
  </si>
  <si>
    <t>UMass </t>
  </si>
  <si>
    <t>UNLV </t>
  </si>
  <si>
    <t>USC </t>
  </si>
  <si>
    <t>UTEP </t>
  </si>
  <si>
    <t>UTSA </t>
  </si>
  <si>
    <t>Utah St </t>
  </si>
  <si>
    <t>Utah </t>
  </si>
  <si>
    <t>Vanderbilt </t>
  </si>
  <si>
    <t>Virginia Tech </t>
  </si>
  <si>
    <t>Virginia </t>
  </si>
  <si>
    <t>W Kentucky </t>
  </si>
  <si>
    <t>W Michigan </t>
  </si>
  <si>
    <t>Wake Forest </t>
  </si>
  <si>
    <t>Washington St </t>
  </si>
  <si>
    <t>Washington </t>
  </si>
  <si>
    <t>West Virginia </t>
  </si>
  <si>
    <t>Wisconsin </t>
  </si>
  <si>
    <t>Wyoming </t>
  </si>
  <si>
    <t>Adjusted Win Total</t>
  </si>
  <si>
    <t>Avg Opponent Rating</t>
  </si>
  <si>
    <t>Final Rating</t>
  </si>
  <si>
    <t>Team Name</t>
  </si>
  <si>
    <t>Week Week 1 Opponent</t>
  </si>
  <si>
    <t>Week Week 1 Opponent Rating</t>
  </si>
  <si>
    <t>Week Week 2 Opponent</t>
  </si>
  <si>
    <t>Week Week 2 Opponent Rating</t>
  </si>
  <si>
    <t>Week Week 3 Opponent</t>
  </si>
  <si>
    <t>Week Week 3 Opponent Rating</t>
  </si>
  <si>
    <t>Week Week 4 Opponent</t>
  </si>
  <si>
    <t>Week Week 4 Opponent Rating</t>
  </si>
  <si>
    <t>Week Week 5 Opponent</t>
  </si>
  <si>
    <t>Week Week 5 Opponent Rating</t>
  </si>
  <si>
    <t>Week Week 6 Opponent</t>
  </si>
  <si>
    <t>Week Week 6 Opponent Rating</t>
  </si>
  <si>
    <t>Week Week 7 Opponent</t>
  </si>
  <si>
    <t>Week Week 7 Opponent Rating</t>
  </si>
  <si>
    <t>Average Opponent Rating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</si>
</sst>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0" fontId="3" fillId="3" borderId="3" applyNumberFormat="1" applyFont="1" applyFill="1" applyBorder="1" applyAlignment="1" applyProtection="0">
      <alignment horizontal="center" vertical="top"/>
    </xf>
    <xf numFmtId="49" fontId="3" fillId="3" borderId="3" applyNumberFormat="1" applyFont="1" applyFill="1" applyBorder="1" applyAlignment="1" applyProtection="0">
      <alignment horizontal="center" vertical="top"/>
    </xf>
    <xf numFmtId="0" fontId="0" borderId="4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1" applyFont="1" applyFill="0" applyBorder="1" applyAlignment="1" applyProtection="0">
      <alignment vertical="bottom"/>
    </xf>
    <xf numFmtId="0" fontId="0" borderId="9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3" fillId="4" borderId="3" applyNumberFormat="1" applyFont="1" applyFill="1" applyBorder="1" applyAlignment="1" applyProtection="0">
      <alignment horizontal="center" vertical="top"/>
    </xf>
    <xf numFmtId="49" fontId="3" fillId="5" borderId="3" applyNumberFormat="1" applyFont="1" applyFill="1" applyBorder="1" applyAlignment="1" applyProtection="0">
      <alignment horizontal="center" vertical="top"/>
    </xf>
    <xf numFmtId="0" fontId="0" borderId="11" applyNumberFormat="1" applyFont="1" applyFill="0" applyBorder="1" applyAlignment="1" applyProtection="0">
      <alignment vertical="bottom"/>
    </xf>
    <xf numFmtId="0" fontId="0" borderId="12" applyNumberFormat="1" applyFont="1" applyFill="0" applyBorder="1" applyAlignment="1" applyProtection="0">
      <alignment vertical="bottom"/>
    </xf>
    <xf numFmtId="0" fontId="0" borderId="13" applyNumberFormat="1" applyFont="1" applyFill="0" applyBorder="1" applyAlignment="1" applyProtection="0">
      <alignment vertical="bottom"/>
    </xf>
    <xf numFmtId="0" fontId="0" borderId="1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a7c0de"/>
      <rgbColor rgb="ffcddda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38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5.4" customHeight="1" outlineLevelRow="0" outlineLevelCol="0"/>
  <cols>
    <col min="1" max="2" width="16.3516" style="1" customWidth="1"/>
    <col min="3" max="3" width="18.4844" style="1" customWidth="1"/>
    <col min="4" max="4" width="21.375" style="1" customWidth="1"/>
    <col min="5" max="6" width="16.3516" style="1" customWidth="1"/>
    <col min="7" max="16384" width="16.3516" style="1" customWidth="1"/>
  </cols>
  <sheetData>
    <row r="1" ht="15.55" customHeight="1">
      <c r="A1" t="s" s="2">
        <v>0</v>
      </c>
      <c r="B1" s="2"/>
      <c r="C1" s="2"/>
      <c r="D1" s="2"/>
      <c r="E1" s="2"/>
      <c r="F1" s="2"/>
    </row>
    <row r="2" ht="13.2" customHeight="1">
      <c r="A2" t="s" s="3">
        <v>1</v>
      </c>
      <c r="B2" t="s" s="3">
        <v>2</v>
      </c>
      <c r="C2" t="s" s="4">
        <v>3</v>
      </c>
      <c r="D2" t="s" s="4">
        <v>4</v>
      </c>
      <c r="E2" s="5"/>
      <c r="F2" s="5"/>
    </row>
    <row r="3" ht="13.55" customHeight="1">
      <c r="A3" s="6">
        <v>1</v>
      </c>
      <c r="B3" t="s" s="7">
        <v>5</v>
      </c>
      <c r="C3" s="8">
        <v>7.75371529836661</v>
      </c>
      <c r="D3" s="9" cm="1">
        <f t="array" ref="D3">VLOOKUP($B3,'Matrix Output'!$A1:$EJ137,140,FALSE)</f>
        <v>7.75371529836661</v>
      </c>
      <c r="E3" s="10"/>
      <c r="F3" s="10"/>
    </row>
    <row r="4" ht="13.55" customHeight="1">
      <c r="A4" s="6">
        <v>2</v>
      </c>
      <c r="B4" t="s" s="7">
        <v>6</v>
      </c>
      <c r="C4" s="11">
        <v>6.89188674772828</v>
      </c>
      <c r="D4" s="12" cm="1">
        <f t="array" ref="D4">VLOOKUP($B4,'Matrix Output'!$A1:$EJ137,140,FALSE)</f>
        <v>6.89188674772828</v>
      </c>
      <c r="E4" s="13"/>
      <c r="F4" s="13"/>
    </row>
    <row r="5" ht="13.55" customHeight="1">
      <c r="A5" s="6">
        <v>3</v>
      </c>
      <c r="B5" t="s" s="7">
        <v>7</v>
      </c>
      <c r="C5" s="11">
        <v>6.81991318008486</v>
      </c>
      <c r="D5" s="12" cm="1">
        <f t="array" ref="D5">VLOOKUP($B5,'Matrix Output'!$A1:$EJ137,140,FALSE)</f>
        <v>6.81991318008486</v>
      </c>
      <c r="E5" s="13"/>
      <c r="F5" s="13"/>
    </row>
    <row r="6" ht="13.55" customHeight="1">
      <c r="A6" s="6">
        <v>4</v>
      </c>
      <c r="B6" t="s" s="7">
        <v>8</v>
      </c>
      <c r="C6" s="11">
        <v>6.10756515153678</v>
      </c>
      <c r="D6" s="12" cm="1">
        <f t="array" ref="D6">VLOOKUP($B6,'Matrix Output'!$A1:$EJ137,140,FALSE)</f>
        <v>6.10756515153678</v>
      </c>
      <c r="E6" s="13"/>
      <c r="F6" s="13"/>
    </row>
    <row r="7" ht="13.55" customHeight="1">
      <c r="A7" s="6">
        <v>5</v>
      </c>
      <c r="B7" t="s" s="7">
        <v>9</v>
      </c>
      <c r="C7" s="11">
        <v>6.03187766748243</v>
      </c>
      <c r="D7" s="12" cm="1">
        <f t="array" ref="D7">VLOOKUP($B7,'Matrix Output'!$A1:$EJ137,140,FALSE)</f>
        <v>6.03187766748243</v>
      </c>
      <c r="E7" s="13"/>
      <c r="F7" s="13"/>
    </row>
    <row r="8" ht="13.55" customHeight="1">
      <c r="A8" s="6">
        <v>6</v>
      </c>
      <c r="B8" t="s" s="7">
        <v>10</v>
      </c>
      <c r="C8" s="11">
        <v>5.98822025778287</v>
      </c>
      <c r="D8" s="12" cm="1">
        <f t="array" ref="D8">VLOOKUP($B8,'Matrix Output'!$A1:$EJ137,140,FALSE)</f>
        <v>5.98822025778287</v>
      </c>
      <c r="E8" s="13"/>
      <c r="F8" s="13"/>
    </row>
    <row r="9" ht="13.55" customHeight="1">
      <c r="A9" s="6">
        <v>7</v>
      </c>
      <c r="B9" t="s" s="7">
        <v>11</v>
      </c>
      <c r="C9" s="11">
        <v>5.67199536229164</v>
      </c>
      <c r="D9" s="12" cm="1">
        <f t="array" ref="D9">VLOOKUP($B9,'Matrix Output'!$A1:$EJ137,140,FALSE)</f>
        <v>5.67199536229164</v>
      </c>
      <c r="E9" s="13"/>
      <c r="F9" s="13"/>
    </row>
    <row r="10" ht="13.55" customHeight="1">
      <c r="A10" s="6">
        <v>8</v>
      </c>
      <c r="B10" t="s" s="7">
        <v>12</v>
      </c>
      <c r="C10" s="11">
        <v>5.59982769875114</v>
      </c>
      <c r="D10" s="12" cm="1">
        <f t="array" ref="D10">VLOOKUP($B10,'Matrix Output'!$A1:$EJ137,140,FALSE)</f>
        <v>5.59982769875114</v>
      </c>
      <c r="E10" s="13"/>
      <c r="F10" s="13"/>
    </row>
    <row r="11" ht="13.55" customHeight="1">
      <c r="A11" s="6">
        <v>9</v>
      </c>
      <c r="B11" t="s" s="7">
        <v>13</v>
      </c>
      <c r="C11" s="11">
        <v>5.59129696346212</v>
      </c>
      <c r="D11" s="12" cm="1">
        <f t="array" ref="D11">VLOOKUP($B11,'Matrix Output'!$A1:$EJ137,140,FALSE)</f>
        <v>5.59129696346212</v>
      </c>
      <c r="E11" s="13"/>
      <c r="F11" s="13"/>
    </row>
    <row r="12" ht="13.55" customHeight="1">
      <c r="A12" s="6">
        <v>10</v>
      </c>
      <c r="B12" t="s" s="7">
        <v>14</v>
      </c>
      <c r="C12" s="11">
        <v>5.51360480483848</v>
      </c>
      <c r="D12" s="12" cm="1">
        <f t="array" ref="D12">VLOOKUP($B12,'Matrix Output'!$A1:$EJ137,140,FALSE)</f>
        <v>5.51360480483848</v>
      </c>
      <c r="E12" s="13"/>
      <c r="F12" s="13"/>
    </row>
    <row r="13" ht="13.55" customHeight="1">
      <c r="A13" s="6">
        <v>11</v>
      </c>
      <c r="B13" t="s" s="7">
        <v>15</v>
      </c>
      <c r="C13" s="11">
        <v>5.46568762547505</v>
      </c>
      <c r="D13" s="12" cm="1">
        <f t="array" ref="D13">VLOOKUP($B13,'Matrix Output'!$A1:$EJ137,140,FALSE)</f>
        <v>5.46568762547505</v>
      </c>
      <c r="E13" s="13"/>
      <c r="F13" s="13"/>
    </row>
    <row r="14" ht="13.55" customHeight="1">
      <c r="A14" s="6">
        <v>12</v>
      </c>
      <c r="B14" t="s" s="7">
        <v>16</v>
      </c>
      <c r="C14" s="11">
        <v>5.27483839422214</v>
      </c>
      <c r="D14" s="12" cm="1">
        <f t="array" ref="D14">VLOOKUP($B14,'Matrix Output'!$A1:$EJ137,140,FALSE)</f>
        <v>5.27483839422214</v>
      </c>
      <c r="E14" s="13"/>
      <c r="F14" s="13"/>
    </row>
    <row r="15" ht="13.55" customHeight="1">
      <c r="A15" s="6">
        <v>13</v>
      </c>
      <c r="B15" t="s" s="7">
        <v>17</v>
      </c>
      <c r="C15" s="11">
        <v>5.22830415963158</v>
      </c>
      <c r="D15" s="12" cm="1">
        <f t="array" ref="D15">VLOOKUP($B15,'Matrix Output'!$A1:$EJ137,140,FALSE)</f>
        <v>5.22830415963158</v>
      </c>
      <c r="E15" s="13"/>
      <c r="F15" s="13"/>
    </row>
    <row r="16" ht="13.55" customHeight="1">
      <c r="A16" s="6">
        <v>14</v>
      </c>
      <c r="B16" t="s" s="7">
        <v>18</v>
      </c>
      <c r="C16" s="11">
        <v>5.0922019441117</v>
      </c>
      <c r="D16" s="12" cm="1">
        <f t="array" ref="D16">VLOOKUP($B16,'Matrix Output'!$A1:$EJ137,140,FALSE)</f>
        <v>5.0922019441117</v>
      </c>
      <c r="E16" s="13"/>
      <c r="F16" s="13"/>
    </row>
    <row r="17" ht="13.55" customHeight="1">
      <c r="A17" s="6">
        <v>15</v>
      </c>
      <c r="B17" t="s" s="7">
        <v>19</v>
      </c>
      <c r="C17" s="11">
        <v>4.5934517710258</v>
      </c>
      <c r="D17" s="12" cm="1">
        <f t="array" ref="D17">VLOOKUP($B17,'Matrix Output'!$A1:$EJ137,140,FALSE)</f>
        <v>4.5934517710258</v>
      </c>
      <c r="E17" s="13"/>
      <c r="F17" s="13"/>
    </row>
    <row r="18" ht="13.55" customHeight="1">
      <c r="A18" s="6">
        <v>16</v>
      </c>
      <c r="B18" t="s" s="7">
        <v>20</v>
      </c>
      <c r="C18" s="11">
        <v>4.57875396195659</v>
      </c>
      <c r="D18" s="12" cm="1">
        <f t="array" ref="D18">VLOOKUP($B18,'Matrix Output'!$A1:$EJ137,140,FALSE)</f>
        <v>4.57875396195659</v>
      </c>
      <c r="E18" s="13"/>
      <c r="F18" s="13"/>
    </row>
    <row r="19" ht="13.55" customHeight="1">
      <c r="A19" s="6">
        <v>17</v>
      </c>
      <c r="B19" t="s" s="7">
        <v>21</v>
      </c>
      <c r="C19" s="11">
        <v>4.55913673980902</v>
      </c>
      <c r="D19" s="12" cm="1">
        <f t="array" ref="D19">VLOOKUP($B19,'Matrix Output'!$A1:$EJ137,140,FALSE)</f>
        <v>4.55913673980902</v>
      </c>
      <c r="E19" s="13"/>
      <c r="F19" s="13"/>
    </row>
    <row r="20" ht="13.55" customHeight="1">
      <c r="A20" s="6">
        <v>18</v>
      </c>
      <c r="B20" t="s" s="7">
        <v>22</v>
      </c>
      <c r="C20" s="11">
        <v>4.55887600155886</v>
      </c>
      <c r="D20" s="12" cm="1">
        <f t="array" ref="D20">VLOOKUP($B20,'Matrix Output'!$A1:$EJ137,140,FALSE)</f>
        <v>4.55887600155886</v>
      </c>
      <c r="E20" s="13"/>
      <c r="F20" s="13"/>
    </row>
    <row r="21" ht="13.55" customHeight="1">
      <c r="A21" s="6">
        <v>19</v>
      </c>
      <c r="B21" t="s" s="7">
        <v>23</v>
      </c>
      <c r="C21" s="11">
        <v>4.40189201585545</v>
      </c>
      <c r="D21" s="12" cm="1">
        <f t="array" ref="D21">VLOOKUP($B21,'Matrix Output'!$A1:$EJ137,140,FALSE)</f>
        <v>4.40189201585545</v>
      </c>
      <c r="E21" s="13"/>
      <c r="F21" s="13"/>
    </row>
    <row r="22" ht="13.55" customHeight="1">
      <c r="A22" s="6">
        <v>20</v>
      </c>
      <c r="B22" t="s" s="7">
        <v>24</v>
      </c>
      <c r="C22" s="11">
        <v>4.31123264075225</v>
      </c>
      <c r="D22" s="12" cm="1">
        <f t="array" ref="D22">VLOOKUP($B22,'Matrix Output'!$A1:$EJ137,140,FALSE)</f>
        <v>4.31123264075225</v>
      </c>
      <c r="E22" s="13"/>
      <c r="F22" s="13"/>
    </row>
    <row r="23" ht="13.55" customHeight="1">
      <c r="A23" s="6">
        <v>21</v>
      </c>
      <c r="B23" t="s" s="7">
        <v>25</v>
      </c>
      <c r="C23" s="11">
        <v>4.26570683475592</v>
      </c>
      <c r="D23" s="12" cm="1">
        <f t="array" ref="D23">VLOOKUP($B23,'Matrix Output'!$A1:$EJ137,140,FALSE)</f>
        <v>4.26570683475592</v>
      </c>
      <c r="E23" s="13"/>
      <c r="F23" s="13"/>
    </row>
    <row r="24" ht="13.55" customHeight="1">
      <c r="A24" s="6">
        <v>22</v>
      </c>
      <c r="B24" t="s" s="7">
        <v>26</v>
      </c>
      <c r="C24" s="11">
        <v>4.01425721966897</v>
      </c>
      <c r="D24" s="12" cm="1">
        <f t="array" ref="D24">VLOOKUP($B24,'Matrix Output'!$A1:$EJ137,140,FALSE)</f>
        <v>4.01425721966897</v>
      </c>
      <c r="E24" s="13"/>
      <c r="F24" s="13"/>
    </row>
    <row r="25" ht="13.55" customHeight="1">
      <c r="A25" s="6">
        <v>23</v>
      </c>
      <c r="B25" t="s" s="7">
        <v>27</v>
      </c>
      <c r="C25" s="11">
        <v>4.00435455050306</v>
      </c>
      <c r="D25" s="12" cm="1">
        <f t="array" ref="D25">VLOOKUP($B25,'Matrix Output'!$A1:$EJ137,140,FALSE)</f>
        <v>4.00435455050306</v>
      </c>
      <c r="E25" s="13"/>
      <c r="F25" s="13"/>
    </row>
    <row r="26" ht="13.55" customHeight="1">
      <c r="A26" s="6">
        <v>24</v>
      </c>
      <c r="B26" t="s" s="7">
        <v>28</v>
      </c>
      <c r="C26" s="11">
        <v>3.94267847649009</v>
      </c>
      <c r="D26" s="12" cm="1">
        <f t="array" ref="D26">VLOOKUP($B26,'Matrix Output'!$A1:$EJ137,140,FALSE)</f>
        <v>3.94267847649009</v>
      </c>
      <c r="E26" s="13"/>
      <c r="F26" s="13"/>
    </row>
    <row r="27" ht="13.55" customHeight="1">
      <c r="A27" s="6">
        <v>25</v>
      </c>
      <c r="B27" t="s" s="7">
        <v>29</v>
      </c>
      <c r="C27" s="11">
        <v>3.90358287595508</v>
      </c>
      <c r="D27" s="12" cm="1">
        <f t="array" ref="D27">VLOOKUP($B27,'Matrix Output'!$A1:$EJ137,140,FALSE)</f>
        <v>3.90358287595508</v>
      </c>
      <c r="E27" s="13"/>
      <c r="F27" s="13"/>
    </row>
    <row r="28" ht="13.55" customHeight="1">
      <c r="A28" s="6">
        <v>26</v>
      </c>
      <c r="B28" t="s" s="7">
        <v>30</v>
      </c>
      <c r="C28" s="11">
        <v>3.69943647894699</v>
      </c>
      <c r="D28" s="12" cm="1">
        <f t="array" ref="D28">VLOOKUP($B28,'Matrix Output'!$A1:$EJ137,140,FALSE)</f>
        <v>3.69943647894699</v>
      </c>
      <c r="E28" s="13"/>
      <c r="F28" s="13"/>
    </row>
    <row r="29" ht="13.55" customHeight="1">
      <c r="A29" s="6">
        <v>27</v>
      </c>
      <c r="B29" t="s" s="7">
        <v>31</v>
      </c>
      <c r="C29" s="11">
        <v>3.65492759905113</v>
      </c>
      <c r="D29" s="12" cm="1">
        <f t="array" ref="D29">VLOOKUP($B29,'Matrix Output'!$A1:$EJ137,140,FALSE)</f>
        <v>3.65492759905113</v>
      </c>
      <c r="E29" s="13"/>
      <c r="F29" s="13"/>
    </row>
    <row r="30" ht="13.55" customHeight="1">
      <c r="A30" s="6">
        <v>28</v>
      </c>
      <c r="B30" t="s" s="7">
        <v>32</v>
      </c>
      <c r="C30" s="11">
        <v>3.57260180896642</v>
      </c>
      <c r="D30" s="12" cm="1">
        <f t="array" ref="D30">VLOOKUP($B30,'Matrix Output'!$A1:$EJ137,140,FALSE)</f>
        <v>3.57260180896642</v>
      </c>
      <c r="E30" s="13"/>
      <c r="F30" s="13"/>
    </row>
    <row r="31" ht="13.55" customHeight="1">
      <c r="A31" s="6">
        <v>29</v>
      </c>
      <c r="B31" t="s" s="7">
        <v>33</v>
      </c>
      <c r="C31" s="11">
        <v>3.47491832350742</v>
      </c>
      <c r="D31" s="12" cm="1">
        <f t="array" ref="D31">VLOOKUP($B31,'Matrix Output'!$A1:$EJ137,140,FALSE)</f>
        <v>3.47491832350742</v>
      </c>
      <c r="E31" s="13"/>
      <c r="F31" s="13"/>
    </row>
    <row r="32" ht="13.55" customHeight="1">
      <c r="A32" s="6">
        <v>30</v>
      </c>
      <c r="B32" t="s" s="7">
        <v>34</v>
      </c>
      <c r="C32" s="11">
        <v>3.46082209671099</v>
      </c>
      <c r="D32" s="12" cm="1">
        <f t="array" ref="D32">VLOOKUP($B32,'Matrix Output'!$A1:$EJ137,140,FALSE)</f>
        <v>3.46082209671099</v>
      </c>
      <c r="E32" s="13"/>
      <c r="F32" s="13"/>
    </row>
    <row r="33" ht="13.55" customHeight="1">
      <c r="A33" s="6">
        <v>31</v>
      </c>
      <c r="B33" t="s" s="7">
        <v>35</v>
      </c>
      <c r="C33" s="11">
        <v>3.31512010809599</v>
      </c>
      <c r="D33" s="12" cm="1">
        <f t="array" ref="D33">VLOOKUP($B33,'Matrix Output'!$A1:$EJ137,140,FALSE)</f>
        <v>3.31512010809599</v>
      </c>
      <c r="E33" s="13"/>
      <c r="F33" s="13"/>
    </row>
    <row r="34" ht="13.55" customHeight="1">
      <c r="A34" s="6">
        <v>32</v>
      </c>
      <c r="B34" t="s" s="7">
        <v>36</v>
      </c>
      <c r="C34" s="11">
        <v>3.26105716610947</v>
      </c>
      <c r="D34" s="12" cm="1">
        <f t="array" ref="D34">VLOOKUP($B34,'Matrix Output'!$A1:$EJ137,140,FALSE)</f>
        <v>3.26105716610947</v>
      </c>
      <c r="E34" s="13"/>
      <c r="F34" s="13"/>
    </row>
    <row r="35" ht="13.55" customHeight="1">
      <c r="A35" s="6">
        <v>33</v>
      </c>
      <c r="B35" t="s" s="7">
        <v>37</v>
      </c>
      <c r="C35" s="11">
        <v>3.24335785314622</v>
      </c>
      <c r="D35" s="12" cm="1">
        <f t="array" ref="D35">VLOOKUP($B35,'Matrix Output'!$A1:$EJ137,140,FALSE)</f>
        <v>3.24335785314622</v>
      </c>
      <c r="E35" s="13"/>
      <c r="F35" s="13"/>
    </row>
    <row r="36" ht="13.55" customHeight="1">
      <c r="A36" s="6">
        <v>34</v>
      </c>
      <c r="B36" t="s" s="7">
        <v>38</v>
      </c>
      <c r="C36" s="11">
        <v>3.19465323054226</v>
      </c>
      <c r="D36" s="12" cm="1">
        <f t="array" ref="D36">VLOOKUP($B36,'Matrix Output'!$A1:$EJ137,140,FALSE)</f>
        <v>3.19465323054226</v>
      </c>
      <c r="E36" s="13"/>
      <c r="F36" s="13"/>
    </row>
    <row r="37" ht="13.55" customHeight="1">
      <c r="A37" s="6">
        <v>35</v>
      </c>
      <c r="B37" t="s" s="7">
        <v>39</v>
      </c>
      <c r="C37" s="11">
        <v>3.10202729206284</v>
      </c>
      <c r="D37" s="12" cm="1">
        <f t="array" ref="D37">VLOOKUP($B37,'Matrix Output'!$A1:$EJ137,140,FALSE)</f>
        <v>3.10202729206284</v>
      </c>
      <c r="E37" s="13"/>
      <c r="F37" s="13"/>
    </row>
    <row r="38" ht="13.55" customHeight="1">
      <c r="A38" s="6">
        <v>36</v>
      </c>
      <c r="B38" t="s" s="7">
        <v>40</v>
      </c>
      <c r="C38" s="11">
        <v>2.81548972381729</v>
      </c>
      <c r="D38" s="12" cm="1">
        <f t="array" ref="D38">VLOOKUP($B38,'Matrix Output'!$A1:$EJ137,140,FALSE)</f>
        <v>2.81548972381729</v>
      </c>
      <c r="E38" s="13"/>
      <c r="F38" s="13"/>
    </row>
    <row r="39" ht="13.55" customHeight="1">
      <c r="A39" s="6">
        <v>37</v>
      </c>
      <c r="B39" t="s" s="7">
        <v>41</v>
      </c>
      <c r="C39" s="11">
        <v>2.77908909331727</v>
      </c>
      <c r="D39" s="12" cm="1">
        <f t="array" ref="D39">VLOOKUP($B39,'Matrix Output'!$A1:$EJ137,140,FALSE)</f>
        <v>2.77908909331727</v>
      </c>
      <c r="E39" s="13"/>
      <c r="F39" s="13"/>
    </row>
    <row r="40" ht="13.55" customHeight="1">
      <c r="A40" s="6">
        <v>38</v>
      </c>
      <c r="B40" t="s" s="7">
        <v>42</v>
      </c>
      <c r="C40" s="11">
        <v>2.74320770982259</v>
      </c>
      <c r="D40" s="12" cm="1">
        <f t="array" ref="D40">VLOOKUP($B40,'Matrix Output'!$A1:$EJ137,140,FALSE)</f>
        <v>2.74320770982259</v>
      </c>
      <c r="E40" s="13"/>
      <c r="F40" s="13"/>
    </row>
    <row r="41" ht="13.55" customHeight="1">
      <c r="A41" s="6">
        <v>39</v>
      </c>
      <c r="B41" t="s" s="7">
        <v>43</v>
      </c>
      <c r="C41" s="11">
        <v>2.62817334380147</v>
      </c>
      <c r="D41" s="12" cm="1">
        <f t="array" ref="D41">VLOOKUP($B41,'Matrix Output'!$A1:$EJ137,140,FALSE)</f>
        <v>2.62817334380147</v>
      </c>
      <c r="E41" s="13"/>
      <c r="F41" s="13"/>
    </row>
    <row r="42" ht="13.55" customHeight="1">
      <c r="A42" s="6">
        <v>40</v>
      </c>
      <c r="B42" t="s" s="7">
        <v>44</v>
      </c>
      <c r="C42" s="11">
        <v>2.62459139012443</v>
      </c>
      <c r="D42" s="12" cm="1">
        <f t="array" ref="D42">VLOOKUP($B42,'Matrix Output'!$A1:$EJ137,140,FALSE)</f>
        <v>2.62459139012443</v>
      </c>
      <c r="E42" s="13"/>
      <c r="F42" s="13"/>
    </row>
    <row r="43" ht="13.55" customHeight="1">
      <c r="A43" s="6">
        <v>41</v>
      </c>
      <c r="B43" t="s" s="7">
        <v>45</v>
      </c>
      <c r="C43" s="11">
        <v>2.3773723661694</v>
      </c>
      <c r="D43" s="12" cm="1">
        <f t="array" ref="D43">VLOOKUP($B43,'Matrix Output'!$A1:$EJ137,140,FALSE)</f>
        <v>2.3773723661694</v>
      </c>
      <c r="E43" s="13"/>
      <c r="F43" s="13"/>
    </row>
    <row r="44" ht="13.55" customHeight="1">
      <c r="A44" s="6">
        <v>42</v>
      </c>
      <c r="B44" t="s" s="7">
        <v>46</v>
      </c>
      <c r="C44" s="11">
        <v>2.24485292723666</v>
      </c>
      <c r="D44" s="12" cm="1">
        <f t="array" ref="D44">VLOOKUP($B44,'Matrix Output'!$A1:$EJ137,140,FALSE)</f>
        <v>2.24485292723666</v>
      </c>
      <c r="E44" s="13"/>
      <c r="F44" s="13"/>
    </row>
    <row r="45" ht="13.55" customHeight="1">
      <c r="A45" s="6">
        <v>43</v>
      </c>
      <c r="B45" t="s" s="7">
        <v>47</v>
      </c>
      <c r="C45" s="11">
        <v>2.18077992877894</v>
      </c>
      <c r="D45" s="12" cm="1">
        <f t="array" ref="D45">VLOOKUP($B45,'Matrix Output'!$A1:$EJ137,140,FALSE)</f>
        <v>2.18077992877894</v>
      </c>
      <c r="E45" s="13"/>
      <c r="F45" s="13"/>
    </row>
    <row r="46" ht="13.55" customHeight="1">
      <c r="A46" s="6">
        <v>44</v>
      </c>
      <c r="B46" t="s" s="7">
        <v>48</v>
      </c>
      <c r="C46" s="11">
        <v>2.15718932731102</v>
      </c>
      <c r="D46" s="12" cm="1">
        <f t="array" ref="D46">VLOOKUP($B46,'Matrix Output'!$A1:$EJ137,140,FALSE)</f>
        <v>2.15718932731102</v>
      </c>
      <c r="E46" s="13"/>
      <c r="F46" s="13"/>
    </row>
    <row r="47" ht="13.55" customHeight="1">
      <c r="A47" s="6">
        <v>45</v>
      </c>
      <c r="B47" t="s" s="7">
        <v>49</v>
      </c>
      <c r="C47" s="11">
        <v>2.02733086035033</v>
      </c>
      <c r="D47" s="12" cm="1">
        <f t="array" ref="D47">VLOOKUP($B47,'Matrix Output'!$A1:$EJ137,140,FALSE)</f>
        <v>2.02733086035033</v>
      </c>
      <c r="E47" s="13"/>
      <c r="F47" s="13"/>
    </row>
    <row r="48" ht="13.55" customHeight="1">
      <c r="A48" s="6">
        <v>46</v>
      </c>
      <c r="B48" t="s" s="7">
        <v>50</v>
      </c>
      <c r="C48" s="11">
        <v>1.94954402902408</v>
      </c>
      <c r="D48" s="12" cm="1">
        <f t="array" ref="D48">VLOOKUP($B48,'Matrix Output'!$A1:$EJ137,140,FALSE)</f>
        <v>1.94954402902408</v>
      </c>
      <c r="E48" s="13"/>
      <c r="F48" s="13"/>
    </row>
    <row r="49" ht="13.55" customHeight="1">
      <c r="A49" s="6">
        <v>47</v>
      </c>
      <c r="B49" t="s" s="7">
        <v>51</v>
      </c>
      <c r="C49" s="11">
        <v>1.92271517987119</v>
      </c>
      <c r="D49" s="12" cm="1">
        <f t="array" ref="D49">VLOOKUP($B49,'Matrix Output'!$A1:$EJ137,140,FALSE)</f>
        <v>1.92271517987119</v>
      </c>
      <c r="E49" s="13"/>
      <c r="F49" s="13"/>
    </row>
    <row r="50" ht="13.55" customHeight="1">
      <c r="A50" s="6">
        <v>48</v>
      </c>
      <c r="B50" t="s" s="7">
        <v>52</v>
      </c>
      <c r="C50" s="11">
        <v>1.88863509001956</v>
      </c>
      <c r="D50" s="12" cm="1">
        <f t="array" ref="D50">VLOOKUP($B50,'Matrix Output'!$A1:$EJ137,140,FALSE)</f>
        <v>1.88863509001956</v>
      </c>
      <c r="E50" s="13"/>
      <c r="F50" s="13"/>
    </row>
    <row r="51" ht="13.55" customHeight="1">
      <c r="A51" s="6">
        <v>49</v>
      </c>
      <c r="B51" t="s" s="7">
        <v>53</v>
      </c>
      <c r="C51" s="11">
        <v>1.80226153055653</v>
      </c>
      <c r="D51" s="12" cm="1">
        <f t="array" ref="D51">VLOOKUP($B51,'Matrix Output'!$A1:$EJ137,140,FALSE)</f>
        <v>1.80226153055653</v>
      </c>
      <c r="E51" s="13"/>
      <c r="F51" s="13"/>
    </row>
    <row r="52" ht="13.55" customHeight="1">
      <c r="A52" s="6">
        <v>50</v>
      </c>
      <c r="B52" t="s" s="7">
        <v>54</v>
      </c>
      <c r="C52" s="11">
        <v>1.67670283281755</v>
      </c>
      <c r="D52" s="12" cm="1">
        <f t="array" ref="D52">VLOOKUP($B52,'Matrix Output'!$A1:$EJ137,140,FALSE)</f>
        <v>1.67670283281755</v>
      </c>
      <c r="E52" s="13"/>
      <c r="F52" s="13"/>
    </row>
    <row r="53" ht="13.55" customHeight="1">
      <c r="A53" s="6">
        <v>51</v>
      </c>
      <c r="B53" t="s" s="7">
        <v>55</v>
      </c>
      <c r="C53" s="11">
        <v>1.61968253185873</v>
      </c>
      <c r="D53" s="12" cm="1">
        <f t="array" ref="D53">VLOOKUP($B53,'Matrix Output'!$A1:$EJ137,140,FALSE)</f>
        <v>1.61968253185873</v>
      </c>
      <c r="E53" s="13"/>
      <c r="F53" s="13"/>
    </row>
    <row r="54" ht="13.55" customHeight="1">
      <c r="A54" s="6">
        <v>52</v>
      </c>
      <c r="B54" t="s" s="7">
        <v>56</v>
      </c>
      <c r="C54" s="11">
        <v>1.60624122091741</v>
      </c>
      <c r="D54" s="12" cm="1">
        <f t="array" ref="D54">VLOOKUP($B54,'Matrix Output'!$A1:$EJ137,140,FALSE)</f>
        <v>1.60624122091741</v>
      </c>
      <c r="E54" s="13"/>
      <c r="F54" s="13"/>
    </row>
    <row r="55" ht="13.55" customHeight="1">
      <c r="A55" s="6">
        <v>53</v>
      </c>
      <c r="B55" t="s" s="7">
        <v>57</v>
      </c>
      <c r="C55" s="11">
        <v>1.60467129115595</v>
      </c>
      <c r="D55" s="12" cm="1">
        <f t="array" ref="D55">VLOOKUP($B55,'Matrix Output'!$A1:$EJ137,140,FALSE)</f>
        <v>1.60467129115595</v>
      </c>
      <c r="E55" s="13"/>
      <c r="F55" s="13"/>
    </row>
    <row r="56" ht="13.55" customHeight="1">
      <c r="A56" s="6">
        <v>54</v>
      </c>
      <c r="B56" t="s" s="7">
        <v>58</v>
      </c>
      <c r="C56" s="11">
        <v>1.46004862122864</v>
      </c>
      <c r="D56" s="12" cm="1">
        <f t="array" ref="D56">VLOOKUP($B56,'Matrix Output'!$A1:$EJ137,140,FALSE)</f>
        <v>1.46004862122864</v>
      </c>
      <c r="E56" s="13"/>
      <c r="F56" s="13"/>
    </row>
    <row r="57" ht="13.55" customHeight="1">
      <c r="A57" s="6">
        <v>55</v>
      </c>
      <c r="B57" t="s" s="7">
        <v>59</v>
      </c>
      <c r="C57" s="11">
        <v>1.35598510611147</v>
      </c>
      <c r="D57" s="12" cm="1">
        <f t="array" ref="D57">VLOOKUP($B57,'Matrix Output'!$A1:$EJ137,140,FALSE)</f>
        <v>1.35598510611147</v>
      </c>
      <c r="E57" s="13"/>
      <c r="F57" s="13"/>
    </row>
    <row r="58" ht="13.55" customHeight="1">
      <c r="A58" s="6">
        <v>56</v>
      </c>
      <c r="B58" t="s" s="7">
        <v>60</v>
      </c>
      <c r="C58" s="11">
        <v>1.18530535993094</v>
      </c>
      <c r="D58" s="12" cm="1">
        <f t="array" ref="D58">VLOOKUP($B58,'Matrix Output'!$A1:$EJ137,140,FALSE)</f>
        <v>1.18530535993094</v>
      </c>
      <c r="E58" s="13"/>
      <c r="F58" s="13"/>
    </row>
    <row r="59" ht="13.55" customHeight="1">
      <c r="A59" s="6">
        <v>57</v>
      </c>
      <c r="B59" t="s" s="7">
        <v>61</v>
      </c>
      <c r="C59" s="11">
        <v>0.7599191252438799</v>
      </c>
      <c r="D59" s="12" cm="1">
        <f t="array" ref="D59">VLOOKUP($B59,'Matrix Output'!$A1:$EJ137,140,FALSE)</f>
        <v>0.7599191252438799</v>
      </c>
      <c r="E59" s="13"/>
      <c r="F59" s="13"/>
    </row>
    <row r="60" ht="13.55" customHeight="1">
      <c r="A60" s="6">
        <v>58</v>
      </c>
      <c r="B60" t="s" s="7">
        <v>62</v>
      </c>
      <c r="C60" s="11">
        <v>0.66379483818593</v>
      </c>
      <c r="D60" s="12" cm="1">
        <f t="array" ref="D60">VLOOKUP($B60,'Matrix Output'!$A1:$EJ137,140,FALSE)</f>
        <v>0.66379483818593</v>
      </c>
      <c r="E60" s="13"/>
      <c r="F60" s="13"/>
    </row>
    <row r="61" ht="13.55" customHeight="1">
      <c r="A61" s="6">
        <v>59</v>
      </c>
      <c r="B61" t="s" s="7">
        <v>63</v>
      </c>
      <c r="C61" s="11">
        <v>0.59579451619031</v>
      </c>
      <c r="D61" s="12" cm="1">
        <f t="array" ref="D61">VLOOKUP($B61,'Matrix Output'!$A1:$EJ137,140,FALSE)</f>
        <v>0.59579451619031</v>
      </c>
      <c r="E61" s="13"/>
      <c r="F61" s="13"/>
    </row>
    <row r="62" ht="13.55" customHeight="1">
      <c r="A62" s="6">
        <v>60</v>
      </c>
      <c r="B62" t="s" s="7">
        <v>64</v>
      </c>
      <c r="C62" s="11">
        <v>0.5861765857014</v>
      </c>
      <c r="D62" s="12" cm="1">
        <f t="array" ref="D62">VLOOKUP($B62,'Matrix Output'!$A1:$EJ137,140,FALSE)</f>
        <v>0.5861765857014</v>
      </c>
      <c r="E62" s="13"/>
      <c r="F62" s="13"/>
    </row>
    <row r="63" ht="13.55" customHeight="1">
      <c r="A63" s="6">
        <v>61</v>
      </c>
      <c r="B63" t="s" s="7">
        <v>65</v>
      </c>
      <c r="C63" s="11">
        <v>0.5243959583097469</v>
      </c>
      <c r="D63" s="12" cm="1">
        <f t="array" ref="D63">VLOOKUP($B63,'Matrix Output'!$A1:$EJ137,140,FALSE)</f>
        <v>0.5243959583097469</v>
      </c>
      <c r="E63" s="13"/>
      <c r="F63" s="13"/>
    </row>
    <row r="64" ht="13.55" customHeight="1">
      <c r="A64" s="6">
        <v>62</v>
      </c>
      <c r="B64" t="s" s="7">
        <v>66</v>
      </c>
      <c r="C64" s="11">
        <v>0.29521010233505</v>
      </c>
      <c r="D64" s="12" cm="1">
        <f t="array" ref="D64">VLOOKUP($B64,'Matrix Output'!$A1:$EJ137,140,FALSE)</f>
        <v>0.29521010233505</v>
      </c>
      <c r="E64" s="13"/>
      <c r="F64" s="13"/>
    </row>
    <row r="65" ht="13.55" customHeight="1">
      <c r="A65" s="6">
        <v>63</v>
      </c>
      <c r="B65" t="s" s="7">
        <v>67</v>
      </c>
      <c r="C65" s="11">
        <v>0.275678160475329</v>
      </c>
      <c r="D65" s="12" cm="1">
        <f t="array" ref="D65">VLOOKUP($B65,'Matrix Output'!$A1:$EJ137,140,FALSE)</f>
        <v>0.275678160475329</v>
      </c>
      <c r="E65" s="13"/>
      <c r="F65" s="13"/>
    </row>
    <row r="66" ht="13.55" customHeight="1">
      <c r="A66" s="6">
        <v>64</v>
      </c>
      <c r="B66" t="s" s="7">
        <v>68</v>
      </c>
      <c r="C66" s="11">
        <v>0.248638585007207</v>
      </c>
      <c r="D66" s="12" cm="1">
        <f t="array" ref="D66">VLOOKUP($B66,'Matrix Output'!$A1:$EJ137,140,FALSE)</f>
        <v>0.248638585007207</v>
      </c>
      <c r="E66" s="13"/>
      <c r="F66" s="13"/>
    </row>
    <row r="67" ht="13.55" customHeight="1">
      <c r="A67" s="6">
        <v>65</v>
      </c>
      <c r="B67" t="s" s="7">
        <v>69</v>
      </c>
      <c r="C67" s="11">
        <v>0.20014218519344</v>
      </c>
      <c r="D67" s="12" cm="1">
        <f t="array" ref="D67">VLOOKUP($B67,'Matrix Output'!$A1:$EJ137,140,FALSE)</f>
        <v>0.20014218519344</v>
      </c>
      <c r="E67" s="13"/>
      <c r="F67" s="13"/>
    </row>
    <row r="68" ht="13.55" customHeight="1">
      <c r="A68" s="6">
        <v>66</v>
      </c>
      <c r="B68" t="s" s="7">
        <v>70</v>
      </c>
      <c r="C68" s="11">
        <v>0.14360151048081</v>
      </c>
      <c r="D68" s="12" cm="1">
        <f t="array" ref="D68">VLOOKUP($B68,'Matrix Output'!$A1:$EJ137,140,FALSE)</f>
        <v>0.14360151048081</v>
      </c>
      <c r="E68" s="13"/>
      <c r="F68" s="13"/>
    </row>
    <row r="69" ht="13.55" customHeight="1">
      <c r="A69" s="6">
        <v>67</v>
      </c>
      <c r="B69" t="s" s="7">
        <v>71</v>
      </c>
      <c r="C69" s="11">
        <v>0.018556443215437</v>
      </c>
      <c r="D69" s="12" cm="1">
        <f t="array" ref="D69">VLOOKUP($B69,'Matrix Output'!$A1:$EJ137,140,FALSE)</f>
        <v>0.018556443215437</v>
      </c>
      <c r="E69" s="13"/>
      <c r="F69" s="13"/>
    </row>
    <row r="70" ht="13.55" customHeight="1">
      <c r="A70" s="6">
        <v>68</v>
      </c>
      <c r="B70" t="s" s="7">
        <v>72</v>
      </c>
      <c r="C70" s="11">
        <v>-0.11442308333701</v>
      </c>
      <c r="D70" s="12" cm="1">
        <f t="array" ref="D70">VLOOKUP($B70,'Matrix Output'!$A1:$EJ137,140,FALSE)</f>
        <v>-0.11442308333701</v>
      </c>
      <c r="E70" s="13"/>
      <c r="F70" s="13"/>
    </row>
    <row r="71" ht="13.55" customHeight="1">
      <c r="A71" s="6">
        <v>69</v>
      </c>
      <c r="B71" t="s" s="7">
        <v>73</v>
      </c>
      <c r="C71" s="11">
        <v>-0.42667333775956</v>
      </c>
      <c r="D71" s="12" cm="1">
        <f t="array" ref="D71">VLOOKUP($B71,'Matrix Output'!$A1:$EJ137,140,FALSE)</f>
        <v>-0.42667333775956</v>
      </c>
      <c r="E71" s="13"/>
      <c r="F71" s="13"/>
    </row>
    <row r="72" ht="13.55" customHeight="1">
      <c r="A72" s="6">
        <v>70</v>
      </c>
      <c r="B72" t="s" s="7">
        <v>74</v>
      </c>
      <c r="C72" s="11">
        <v>-0.46501955700663</v>
      </c>
      <c r="D72" s="12" cm="1">
        <f t="array" ref="D72">VLOOKUP($B72,'Matrix Output'!$A1:$EJ137,140,FALSE)</f>
        <v>-0.46501955700663</v>
      </c>
      <c r="E72" s="13"/>
      <c r="F72" s="13"/>
    </row>
    <row r="73" ht="13.55" customHeight="1">
      <c r="A73" s="6">
        <v>71</v>
      </c>
      <c r="B73" t="s" s="7">
        <v>75</v>
      </c>
      <c r="C73" s="11">
        <v>-0.47110027727993</v>
      </c>
      <c r="D73" s="12" cm="1">
        <f t="array" ref="D73">VLOOKUP($B73,'Matrix Output'!$A1:$EJ137,140,FALSE)</f>
        <v>-0.47110027727993</v>
      </c>
      <c r="E73" s="13"/>
      <c r="F73" s="13"/>
    </row>
    <row r="74" ht="13.55" customHeight="1">
      <c r="A74" s="6">
        <v>72</v>
      </c>
      <c r="B74" t="s" s="7">
        <v>76</v>
      </c>
      <c r="C74" s="11">
        <v>-0.53831981595041</v>
      </c>
      <c r="D74" s="12" cm="1">
        <f t="array" ref="D74">VLOOKUP($B74,'Matrix Output'!$A1:$EJ137,140,FALSE)</f>
        <v>-0.53831981595041</v>
      </c>
      <c r="E74" s="13"/>
      <c r="F74" s="13"/>
    </row>
    <row r="75" ht="13.55" customHeight="1">
      <c r="A75" s="6">
        <v>73</v>
      </c>
      <c r="B75" t="s" s="7">
        <v>77</v>
      </c>
      <c r="C75" s="11">
        <v>-0.54225690934153</v>
      </c>
      <c r="D75" s="12" cm="1">
        <f t="array" ref="D75">VLOOKUP($B75,'Matrix Output'!$A1:$EJ137,140,FALSE)</f>
        <v>-0.54225690934153</v>
      </c>
      <c r="E75" s="13"/>
      <c r="F75" s="13"/>
    </row>
    <row r="76" ht="13.55" customHeight="1">
      <c r="A76" s="6">
        <v>74</v>
      </c>
      <c r="B76" t="s" s="7">
        <v>78</v>
      </c>
      <c r="C76" s="11">
        <v>-0.7722108176382</v>
      </c>
      <c r="D76" s="12" cm="1">
        <f t="array" ref="D76">VLOOKUP($B76,'Matrix Output'!$A1:$EJ137,140,FALSE)</f>
        <v>-0.7722108176382</v>
      </c>
      <c r="E76" s="13"/>
      <c r="F76" s="13"/>
    </row>
    <row r="77" ht="13.55" customHeight="1">
      <c r="A77" s="6">
        <v>75</v>
      </c>
      <c r="B77" t="s" s="7">
        <v>79</v>
      </c>
      <c r="C77" s="11">
        <v>-0.836360098479986</v>
      </c>
      <c r="D77" s="12" cm="1">
        <f t="array" ref="D77">VLOOKUP($B77,'Matrix Output'!$A1:$EJ137,140,FALSE)</f>
        <v>-0.836360098479986</v>
      </c>
      <c r="E77" s="13"/>
      <c r="F77" s="13"/>
    </row>
    <row r="78" ht="13.55" customHeight="1">
      <c r="A78" s="6">
        <v>76</v>
      </c>
      <c r="B78" t="s" s="7">
        <v>80</v>
      </c>
      <c r="C78" s="11">
        <v>-0.84768132374283</v>
      </c>
      <c r="D78" s="12" cm="1">
        <f t="array" ref="D78">VLOOKUP($B78,'Matrix Output'!$A1:$EJ137,140,FALSE)</f>
        <v>-0.84768132374283</v>
      </c>
      <c r="E78" s="13"/>
      <c r="F78" s="13"/>
    </row>
    <row r="79" ht="13.55" customHeight="1">
      <c r="A79" s="6">
        <v>77</v>
      </c>
      <c r="B79" t="s" s="7">
        <v>81</v>
      </c>
      <c r="C79" s="11">
        <v>-0.88177362772117</v>
      </c>
      <c r="D79" s="12" cm="1">
        <f t="array" ref="D79">VLOOKUP($B79,'Matrix Output'!$A1:$EJ137,140,FALSE)</f>
        <v>-0.88177362772117</v>
      </c>
      <c r="E79" s="13"/>
      <c r="F79" s="13"/>
    </row>
    <row r="80" ht="13.55" customHeight="1">
      <c r="A80" s="6">
        <v>78</v>
      </c>
      <c r="B80" t="s" s="7">
        <v>82</v>
      </c>
      <c r="C80" s="11">
        <v>-1.01281078608949</v>
      </c>
      <c r="D80" s="12" cm="1">
        <f t="array" ref="D80">VLOOKUP($B80,'Matrix Output'!$A1:$EJ137,140,FALSE)</f>
        <v>-1.01281078608949</v>
      </c>
      <c r="E80" s="13"/>
      <c r="F80" s="13"/>
    </row>
    <row r="81" ht="13.55" customHeight="1">
      <c r="A81" s="6">
        <v>79</v>
      </c>
      <c r="B81" t="s" s="7">
        <v>83</v>
      </c>
      <c r="C81" s="11">
        <v>-1.04226754877399</v>
      </c>
      <c r="D81" s="12" cm="1">
        <f t="array" ref="D81">VLOOKUP($B81,'Matrix Output'!$A1:$EJ137,140,FALSE)</f>
        <v>-1.04226754877399</v>
      </c>
      <c r="E81" s="13"/>
      <c r="F81" s="13"/>
    </row>
    <row r="82" ht="13.55" customHeight="1">
      <c r="A82" s="6">
        <v>80</v>
      </c>
      <c r="B82" t="s" s="7">
        <v>84</v>
      </c>
      <c r="C82" s="11">
        <v>-1.04555922522911</v>
      </c>
      <c r="D82" s="12" cm="1">
        <f t="array" ref="D82">VLOOKUP($B82,'Matrix Output'!$A1:$EJ137,140,FALSE)</f>
        <v>-1.04555922522911</v>
      </c>
      <c r="E82" s="13"/>
      <c r="F82" s="13"/>
    </row>
    <row r="83" ht="13.55" customHeight="1">
      <c r="A83" s="6">
        <v>81</v>
      </c>
      <c r="B83" t="s" s="7">
        <v>85</v>
      </c>
      <c r="C83" s="14">
        <v>-1.16950431848081</v>
      </c>
      <c r="D83" s="12" cm="1">
        <f t="array" ref="D83">VLOOKUP($B83,'Matrix Output'!$A1:$EJ137,140,FALSE)</f>
        <v>-1.16950431848081</v>
      </c>
      <c r="E83" s="13"/>
      <c r="F83" s="13"/>
    </row>
    <row r="84" ht="13.55" customHeight="1">
      <c r="A84" s="6">
        <v>82</v>
      </c>
      <c r="B84" t="s" s="7">
        <v>86</v>
      </c>
      <c r="C84" s="15">
        <v>-1.16960524424737</v>
      </c>
      <c r="D84" s="12" cm="1">
        <f t="array" ref="D84">VLOOKUP($B84,'Matrix Output'!$A1:$EJ137,140,FALSE)</f>
        <v>-1.16960524424737</v>
      </c>
      <c r="E84" s="13"/>
      <c r="F84" s="13"/>
    </row>
    <row r="85" ht="13.55" customHeight="1">
      <c r="A85" s="6">
        <v>83</v>
      </c>
      <c r="B85" t="s" s="7">
        <v>87</v>
      </c>
      <c r="C85" s="11">
        <v>-1.20871388306861</v>
      </c>
      <c r="D85" s="12" cm="1">
        <f t="array" ref="D85">VLOOKUP($B85,'Matrix Output'!$A1:$EJ137,140,FALSE)</f>
        <v>-1.20871388306861</v>
      </c>
      <c r="E85" s="13"/>
      <c r="F85" s="13"/>
    </row>
    <row r="86" ht="13.55" customHeight="1">
      <c r="A86" s="6">
        <v>84</v>
      </c>
      <c r="B86" t="s" s="7">
        <v>88</v>
      </c>
      <c r="C86" s="11">
        <v>-1.35956232001684</v>
      </c>
      <c r="D86" s="12" cm="1">
        <f t="array" ref="D86">VLOOKUP($B86,'Matrix Output'!$A1:$EJ137,140,FALSE)</f>
        <v>-1.35956232001684</v>
      </c>
      <c r="E86" s="13"/>
      <c r="F86" s="13"/>
    </row>
    <row r="87" ht="13.55" customHeight="1">
      <c r="A87" s="6">
        <v>85</v>
      </c>
      <c r="B87" t="s" s="7">
        <v>89</v>
      </c>
      <c r="C87" s="11">
        <v>-1.465873424251</v>
      </c>
      <c r="D87" s="12" cm="1">
        <f t="array" ref="D87">VLOOKUP($B87,'Matrix Output'!$A1:$EJ137,140,FALSE)</f>
        <v>-1.465873424251</v>
      </c>
      <c r="E87" s="13"/>
      <c r="F87" s="13"/>
    </row>
    <row r="88" ht="13.55" customHeight="1">
      <c r="A88" s="6">
        <v>86</v>
      </c>
      <c r="B88" t="s" s="7">
        <v>90</v>
      </c>
      <c r="C88" s="11">
        <v>-1.62598908807918</v>
      </c>
      <c r="D88" s="12" cm="1">
        <f t="array" ref="D88">VLOOKUP($B88,'Matrix Output'!$A1:$EJ137,140,FALSE)</f>
        <v>-1.62598908807918</v>
      </c>
      <c r="E88" s="13"/>
      <c r="F88" s="13"/>
    </row>
    <row r="89" ht="13.55" customHeight="1">
      <c r="A89" s="6">
        <v>87</v>
      </c>
      <c r="B89" t="s" s="7">
        <v>91</v>
      </c>
      <c r="C89" s="11">
        <v>-1.86915335849158</v>
      </c>
      <c r="D89" s="12" cm="1">
        <f t="array" ref="D89">VLOOKUP($B89,'Matrix Output'!$A1:$EJ137,140,FALSE)</f>
        <v>-1.86915335849158</v>
      </c>
      <c r="E89" s="13"/>
      <c r="F89" s="13"/>
    </row>
    <row r="90" ht="13.55" customHeight="1">
      <c r="A90" s="6">
        <v>88</v>
      </c>
      <c r="B90" t="s" s="7">
        <v>92</v>
      </c>
      <c r="C90" s="11">
        <v>-1.87051168400926</v>
      </c>
      <c r="D90" s="12" cm="1">
        <f t="array" ref="D90">VLOOKUP($B90,'Matrix Output'!$A1:$EJ137,140,FALSE)</f>
        <v>-1.87051168400926</v>
      </c>
      <c r="E90" s="13"/>
      <c r="F90" s="13"/>
    </row>
    <row r="91" ht="13.55" customHeight="1">
      <c r="A91" s="6">
        <v>89</v>
      </c>
      <c r="B91" t="s" s="7">
        <v>93</v>
      </c>
      <c r="C91" s="11">
        <v>-1.89357854452855</v>
      </c>
      <c r="D91" s="12" cm="1">
        <f t="array" ref="D91">VLOOKUP($B91,'Matrix Output'!$A1:$EJ137,140,FALSE)</f>
        <v>-1.89357854452855</v>
      </c>
      <c r="E91" s="13"/>
      <c r="F91" s="13"/>
    </row>
    <row r="92" ht="13.55" customHeight="1">
      <c r="A92" s="6">
        <v>90</v>
      </c>
      <c r="B92" t="s" s="7">
        <v>94</v>
      </c>
      <c r="C92" s="11">
        <v>-1.91272420043442</v>
      </c>
      <c r="D92" s="12" cm="1">
        <f t="array" ref="D92">VLOOKUP($B92,'Matrix Output'!$A1:$EJ137,140,FALSE)</f>
        <v>-1.91272420043442</v>
      </c>
      <c r="E92" s="13"/>
      <c r="F92" s="13"/>
    </row>
    <row r="93" ht="13.55" customHeight="1">
      <c r="A93" s="6">
        <v>91</v>
      </c>
      <c r="B93" t="s" s="7">
        <v>95</v>
      </c>
      <c r="C93" s="11">
        <v>-1.92319740027882</v>
      </c>
      <c r="D93" s="12" cm="1">
        <f t="array" ref="D93">VLOOKUP($B93,'Matrix Output'!$A1:$EJ137,140,FALSE)</f>
        <v>-1.92319740027882</v>
      </c>
      <c r="E93" s="13"/>
      <c r="F93" s="13"/>
    </row>
    <row r="94" ht="13.55" customHeight="1">
      <c r="A94" s="6">
        <v>92</v>
      </c>
      <c r="B94" t="s" s="7">
        <v>96</v>
      </c>
      <c r="C94" s="11">
        <v>-1.92985341790185</v>
      </c>
      <c r="D94" s="12" cm="1">
        <f t="array" ref="D94">VLOOKUP($B94,'Matrix Output'!$A1:$EJ137,140,FALSE)</f>
        <v>-1.92985341790185</v>
      </c>
      <c r="E94" s="13"/>
      <c r="F94" s="13"/>
    </row>
    <row r="95" ht="13.55" customHeight="1">
      <c r="A95" s="6">
        <v>93</v>
      </c>
      <c r="B95" t="s" s="7">
        <v>97</v>
      </c>
      <c r="C95" s="11">
        <v>-2.05013712658942</v>
      </c>
      <c r="D95" s="12" cm="1">
        <f t="array" ref="D95">VLOOKUP($B95,'Matrix Output'!$A1:$EJ137,140,FALSE)</f>
        <v>-2.05013712658942</v>
      </c>
      <c r="E95" s="13"/>
      <c r="F95" s="13"/>
    </row>
    <row r="96" ht="13.55" customHeight="1">
      <c r="A96" s="6">
        <v>94</v>
      </c>
      <c r="B96" t="s" s="7">
        <v>98</v>
      </c>
      <c r="C96" s="11">
        <v>-2.14818495614045</v>
      </c>
      <c r="D96" s="12" cm="1">
        <f t="array" ref="D96">VLOOKUP($B96,'Matrix Output'!$A1:$EJ137,140,FALSE)</f>
        <v>-2.14818495614045</v>
      </c>
      <c r="E96" s="13"/>
      <c r="F96" s="13"/>
    </row>
    <row r="97" ht="13.55" customHeight="1">
      <c r="A97" s="6">
        <v>95</v>
      </c>
      <c r="B97" t="s" s="7">
        <v>99</v>
      </c>
      <c r="C97" s="11">
        <v>-2.17781183627959</v>
      </c>
      <c r="D97" s="12" cm="1">
        <f t="array" ref="D97">VLOOKUP($B97,'Matrix Output'!$A1:$EJ137,140,FALSE)</f>
        <v>-2.17781183627959</v>
      </c>
      <c r="E97" s="13"/>
      <c r="F97" s="13"/>
    </row>
    <row r="98" ht="13.55" customHeight="1">
      <c r="A98" s="6">
        <v>96</v>
      </c>
      <c r="B98" t="s" s="7">
        <v>100</v>
      </c>
      <c r="C98" s="11">
        <v>-2.2314514587537</v>
      </c>
      <c r="D98" s="12" cm="1">
        <f t="array" ref="D98">VLOOKUP($B98,'Matrix Output'!$A1:$EJ137,140,FALSE)</f>
        <v>-2.2314514587537</v>
      </c>
      <c r="E98" s="13"/>
      <c r="F98" s="13"/>
    </row>
    <row r="99" ht="13.55" customHeight="1">
      <c r="A99" s="6">
        <v>97</v>
      </c>
      <c r="B99" t="s" s="7">
        <v>101</v>
      </c>
      <c r="C99" s="11">
        <v>-2.49383104131239</v>
      </c>
      <c r="D99" s="12" cm="1">
        <f t="array" ref="D99">VLOOKUP($B99,'Matrix Output'!$A1:$EJ137,140,FALSE)</f>
        <v>-2.49383104131239</v>
      </c>
      <c r="E99" s="13"/>
      <c r="F99" s="13"/>
    </row>
    <row r="100" ht="13.55" customHeight="1">
      <c r="A100" s="6">
        <v>98</v>
      </c>
      <c r="B100" t="s" s="7">
        <v>102</v>
      </c>
      <c r="C100" s="11">
        <v>-2.53885665448911</v>
      </c>
      <c r="D100" s="12" cm="1">
        <f t="array" ref="D100">VLOOKUP($B100,'Matrix Output'!$A1:$EJ137,140,FALSE)</f>
        <v>-2.53885665448911</v>
      </c>
      <c r="E100" s="13"/>
      <c r="F100" s="13"/>
    </row>
    <row r="101" ht="13.55" customHeight="1">
      <c r="A101" s="6">
        <v>99</v>
      </c>
      <c r="B101" t="s" s="7">
        <v>103</v>
      </c>
      <c r="C101" s="11">
        <v>-2.57170378386919</v>
      </c>
      <c r="D101" s="12" cm="1">
        <f t="array" ref="D101">VLOOKUP($B101,'Matrix Output'!$A1:$EJ137,140,FALSE)</f>
        <v>-2.57170378386919</v>
      </c>
      <c r="E101" s="13"/>
      <c r="F101" s="13"/>
    </row>
    <row r="102" ht="13.55" customHeight="1">
      <c r="A102" s="6">
        <v>100</v>
      </c>
      <c r="B102" t="s" s="7">
        <v>104</v>
      </c>
      <c r="C102" s="11">
        <v>-2.58914252844136</v>
      </c>
      <c r="D102" s="12" cm="1">
        <f t="array" ref="D102">VLOOKUP($B102,'Matrix Output'!$A1:$EJ137,140,FALSE)</f>
        <v>-2.58914252844136</v>
      </c>
      <c r="E102" s="13"/>
      <c r="F102" s="13"/>
    </row>
    <row r="103" ht="13.55" customHeight="1">
      <c r="A103" s="6">
        <v>101</v>
      </c>
      <c r="B103" t="s" s="7">
        <v>105</v>
      </c>
      <c r="C103" s="11">
        <v>-2.70831005953648</v>
      </c>
      <c r="D103" s="12" cm="1">
        <f t="array" ref="D103">VLOOKUP($B103,'Matrix Output'!$A1:$EJ137,140,FALSE)</f>
        <v>-2.70831005953648</v>
      </c>
      <c r="E103" s="13"/>
      <c r="F103" s="13"/>
    </row>
    <row r="104" ht="13.55" customHeight="1">
      <c r="A104" s="6">
        <v>102</v>
      </c>
      <c r="B104" t="s" s="7">
        <v>106</v>
      </c>
      <c r="C104" s="11">
        <v>-2.74762863241334</v>
      </c>
      <c r="D104" s="12" cm="1">
        <f t="array" ref="D104">VLOOKUP($B104,'Matrix Output'!$A1:$EJ137,140,FALSE)</f>
        <v>-2.74762863241334</v>
      </c>
      <c r="E104" s="13"/>
      <c r="F104" s="13"/>
    </row>
    <row r="105" ht="13.55" customHeight="1">
      <c r="A105" s="6">
        <v>103</v>
      </c>
      <c r="B105" t="s" s="7">
        <v>107</v>
      </c>
      <c r="C105" s="11">
        <v>-2.79254134979256</v>
      </c>
      <c r="D105" s="12" cm="1">
        <f t="array" ref="D105">VLOOKUP($B105,'Matrix Output'!$A1:$EJ137,140,FALSE)</f>
        <v>-2.79254134979256</v>
      </c>
      <c r="E105" s="13"/>
      <c r="F105" s="13"/>
    </row>
    <row r="106" ht="13.55" customHeight="1">
      <c r="A106" s="6">
        <v>104</v>
      </c>
      <c r="B106" t="s" s="7">
        <v>108</v>
      </c>
      <c r="C106" s="11">
        <v>-2.91762373109868</v>
      </c>
      <c r="D106" s="12" cm="1">
        <f t="array" ref="D106">VLOOKUP($B106,'Matrix Output'!$A1:$EJ137,140,FALSE)</f>
        <v>-2.91762373109868</v>
      </c>
      <c r="E106" s="13"/>
      <c r="F106" s="13"/>
    </row>
    <row r="107" ht="13.55" customHeight="1">
      <c r="A107" s="6">
        <v>105</v>
      </c>
      <c r="B107" t="s" s="7">
        <v>109</v>
      </c>
      <c r="C107" s="11">
        <v>-3.17082421974611</v>
      </c>
      <c r="D107" s="12" cm="1">
        <f t="array" ref="D107">VLOOKUP($B107,'Matrix Output'!$A1:$EJ137,140,FALSE)</f>
        <v>-3.17082421974611</v>
      </c>
      <c r="E107" s="13"/>
      <c r="F107" s="13"/>
    </row>
    <row r="108" ht="13.55" customHeight="1">
      <c r="A108" s="6">
        <v>106</v>
      </c>
      <c r="B108" t="s" s="7">
        <v>110</v>
      </c>
      <c r="C108" s="11">
        <v>-3.24214829876599</v>
      </c>
      <c r="D108" s="12" cm="1">
        <f t="array" ref="D108">VLOOKUP($B108,'Matrix Output'!$A1:$EJ137,140,FALSE)</f>
        <v>-3.24214829876599</v>
      </c>
      <c r="E108" s="13"/>
      <c r="F108" s="13"/>
    </row>
    <row r="109" ht="13.55" customHeight="1">
      <c r="A109" s="6">
        <v>107</v>
      </c>
      <c r="B109" t="s" s="7">
        <v>111</v>
      </c>
      <c r="C109" s="11">
        <v>-3.28135612625608</v>
      </c>
      <c r="D109" s="12" cm="1">
        <f t="array" ref="D109">VLOOKUP($B109,'Matrix Output'!$A1:$EJ137,140,FALSE)</f>
        <v>-3.28135612625608</v>
      </c>
      <c r="E109" s="13"/>
      <c r="F109" s="13"/>
    </row>
    <row r="110" ht="13.55" customHeight="1">
      <c r="A110" s="6">
        <v>108</v>
      </c>
      <c r="B110" t="s" s="7">
        <v>112</v>
      </c>
      <c r="C110" s="11">
        <v>-3.30058825776286</v>
      </c>
      <c r="D110" s="12" cm="1">
        <f t="array" ref="D110">VLOOKUP($B110,'Matrix Output'!$A1:$EJ137,140,FALSE)</f>
        <v>-3.30058825776286</v>
      </c>
      <c r="E110" s="13"/>
      <c r="F110" s="13"/>
    </row>
    <row r="111" ht="13.55" customHeight="1">
      <c r="A111" s="6">
        <v>109</v>
      </c>
      <c r="B111" t="s" s="7">
        <v>113</v>
      </c>
      <c r="C111" s="11">
        <v>-3.33099720766006</v>
      </c>
      <c r="D111" s="12" cm="1">
        <f t="array" ref="D111">VLOOKUP($B111,'Matrix Output'!$A1:$EJ137,140,FALSE)</f>
        <v>-3.33099720766006</v>
      </c>
      <c r="E111" s="13"/>
      <c r="F111" s="13"/>
    </row>
    <row r="112" ht="13.55" customHeight="1">
      <c r="A112" s="6">
        <v>110</v>
      </c>
      <c r="B112" t="s" s="7">
        <v>114</v>
      </c>
      <c r="C112" s="11">
        <v>-3.48946206869539</v>
      </c>
      <c r="D112" s="12" cm="1">
        <f t="array" ref="D112">VLOOKUP($B112,'Matrix Output'!$A1:$EJ137,140,FALSE)</f>
        <v>-3.48946206869539</v>
      </c>
      <c r="E112" s="13"/>
      <c r="F112" s="13"/>
    </row>
    <row r="113" ht="13.55" customHeight="1">
      <c r="A113" s="6">
        <v>111</v>
      </c>
      <c r="B113" t="s" s="7">
        <v>115</v>
      </c>
      <c r="C113" s="11">
        <v>-3.65935390300287</v>
      </c>
      <c r="D113" s="12" cm="1">
        <f t="array" ref="D113">VLOOKUP($B113,'Matrix Output'!$A1:$EJ137,140,FALSE)</f>
        <v>-3.65935390300287</v>
      </c>
      <c r="E113" s="13"/>
      <c r="F113" s="13"/>
    </row>
    <row r="114" ht="13.55" customHeight="1">
      <c r="A114" s="6">
        <v>112</v>
      </c>
      <c r="B114" t="s" s="7">
        <v>116</v>
      </c>
      <c r="C114" s="11">
        <v>-3.76562451732892</v>
      </c>
      <c r="D114" s="12" cm="1">
        <f t="array" ref="D114">VLOOKUP($B114,'Matrix Output'!$A1:$EJ137,140,FALSE)</f>
        <v>-3.76562451732892</v>
      </c>
      <c r="E114" s="13"/>
      <c r="F114" s="13"/>
    </row>
    <row r="115" ht="13.55" customHeight="1">
      <c r="A115" s="6">
        <v>113</v>
      </c>
      <c r="B115" t="s" s="7">
        <v>117</v>
      </c>
      <c r="C115" s="11">
        <v>-3.77709009717078</v>
      </c>
      <c r="D115" s="12" cm="1">
        <f t="array" ref="D115">VLOOKUP($B115,'Matrix Output'!$A1:$EJ137,140,FALSE)</f>
        <v>-3.77709009717078</v>
      </c>
      <c r="E115" s="13"/>
      <c r="F115" s="13"/>
    </row>
    <row r="116" ht="13.55" customHeight="1">
      <c r="A116" s="6">
        <v>114</v>
      </c>
      <c r="B116" t="s" s="7">
        <v>118</v>
      </c>
      <c r="C116" s="11">
        <v>-3.83643338464872</v>
      </c>
      <c r="D116" s="12" cm="1">
        <f t="array" ref="D116">VLOOKUP($B116,'Matrix Output'!$A1:$EJ137,140,FALSE)</f>
        <v>-3.83643338464872</v>
      </c>
      <c r="E116" s="13"/>
      <c r="F116" s="13"/>
    </row>
    <row r="117" ht="13.55" customHeight="1">
      <c r="A117" s="6">
        <v>115</v>
      </c>
      <c r="B117" t="s" s="7">
        <v>119</v>
      </c>
      <c r="C117" s="11">
        <v>-3.95691937561155</v>
      </c>
      <c r="D117" s="12" cm="1">
        <f t="array" ref="D117">VLOOKUP($B117,'Matrix Output'!$A1:$EJ137,140,FALSE)</f>
        <v>-3.95691937561155</v>
      </c>
      <c r="E117" s="13"/>
      <c r="F117" s="13"/>
    </row>
    <row r="118" ht="13.55" customHeight="1">
      <c r="A118" s="6">
        <v>116</v>
      </c>
      <c r="B118" t="s" s="7">
        <v>120</v>
      </c>
      <c r="C118" s="11">
        <v>-4.02321925506876</v>
      </c>
      <c r="D118" s="12" cm="1">
        <f t="array" ref="D118">VLOOKUP($B118,'Matrix Output'!$A1:$EJ137,140,FALSE)</f>
        <v>-4.02321925506876</v>
      </c>
      <c r="E118" s="13"/>
      <c r="F118" s="13"/>
    </row>
    <row r="119" ht="13.55" customHeight="1">
      <c r="A119" s="6">
        <v>117</v>
      </c>
      <c r="B119" t="s" s="7">
        <v>121</v>
      </c>
      <c r="C119" s="11">
        <v>-4.08640151456241</v>
      </c>
      <c r="D119" s="12" cm="1">
        <f t="array" ref="D119">VLOOKUP($B119,'Matrix Output'!$A1:$EJ137,140,FALSE)</f>
        <v>-4.08640151456241</v>
      </c>
      <c r="E119" s="13"/>
      <c r="F119" s="13"/>
    </row>
    <row r="120" ht="13.55" customHeight="1">
      <c r="A120" s="6">
        <v>118</v>
      </c>
      <c r="B120" t="s" s="7">
        <v>122</v>
      </c>
      <c r="C120" s="11">
        <v>-4.1152424920869</v>
      </c>
      <c r="D120" s="12" cm="1">
        <f t="array" ref="D120">VLOOKUP($B120,'Matrix Output'!$A1:$EJ137,140,FALSE)</f>
        <v>-4.1152424920869</v>
      </c>
      <c r="E120" s="13"/>
      <c r="F120" s="13"/>
    </row>
    <row r="121" ht="13.55" customHeight="1">
      <c r="A121" s="6">
        <v>119</v>
      </c>
      <c r="B121" t="s" s="7">
        <v>123</v>
      </c>
      <c r="C121" s="11">
        <v>-4.19472030187331</v>
      </c>
      <c r="D121" s="12" cm="1">
        <f t="array" ref="D121">VLOOKUP($B121,'Matrix Output'!$A1:$EJ137,140,FALSE)</f>
        <v>-4.19472030187331</v>
      </c>
      <c r="E121" s="13"/>
      <c r="F121" s="13"/>
    </row>
    <row r="122" ht="13.55" customHeight="1">
      <c r="A122" s="6">
        <v>120</v>
      </c>
      <c r="B122" t="s" s="7">
        <v>124</v>
      </c>
      <c r="C122" s="11">
        <v>-4.3473535064778</v>
      </c>
      <c r="D122" s="12" cm="1">
        <f t="array" ref="D122">VLOOKUP($B122,'Matrix Output'!$A1:$EJ137,140,FALSE)</f>
        <v>-4.3473535064778</v>
      </c>
      <c r="E122" s="13"/>
      <c r="F122" s="13"/>
    </row>
    <row r="123" ht="13.55" customHeight="1">
      <c r="A123" s="6">
        <v>121</v>
      </c>
      <c r="B123" t="s" s="7">
        <v>125</v>
      </c>
      <c r="C123" s="11">
        <v>-4.34735517155842</v>
      </c>
      <c r="D123" s="12" cm="1">
        <f t="array" ref="D123">VLOOKUP($B123,'Matrix Output'!$A1:$EJ137,140,FALSE)</f>
        <v>-4.34735517155842</v>
      </c>
      <c r="E123" s="13"/>
      <c r="F123" s="13"/>
    </row>
    <row r="124" ht="13.55" customHeight="1">
      <c r="A124" s="6">
        <v>122</v>
      </c>
      <c r="B124" t="s" s="7">
        <v>126</v>
      </c>
      <c r="C124" s="11">
        <v>-4.4638143553882</v>
      </c>
      <c r="D124" s="12" cm="1">
        <f t="array" ref="D124">VLOOKUP($B124,'Matrix Output'!$A1:$EJ137,140,FALSE)</f>
        <v>-4.4638143553882</v>
      </c>
      <c r="E124" s="13"/>
      <c r="F124" s="13"/>
    </row>
    <row r="125" ht="13.55" customHeight="1">
      <c r="A125" s="6">
        <v>123</v>
      </c>
      <c r="B125" t="s" s="7">
        <v>127</v>
      </c>
      <c r="C125" s="11">
        <v>-4.46999207445372</v>
      </c>
      <c r="D125" s="12" cm="1">
        <f t="array" ref="D125">VLOOKUP($B125,'Matrix Output'!$A1:$EJ137,140,FALSE)</f>
        <v>-4.46999207445372</v>
      </c>
      <c r="E125" s="13"/>
      <c r="F125" s="13"/>
    </row>
    <row r="126" ht="13.55" customHeight="1">
      <c r="A126" s="6">
        <v>124</v>
      </c>
      <c r="B126" t="s" s="7">
        <v>128</v>
      </c>
      <c r="C126" s="11">
        <v>-4.71872907684507</v>
      </c>
      <c r="D126" s="12" cm="1">
        <f t="array" ref="D126">VLOOKUP($B126,'Matrix Output'!$A1:$EJ137,140,FALSE)</f>
        <v>-4.71872907684507</v>
      </c>
      <c r="E126" s="13"/>
      <c r="F126" s="13"/>
    </row>
    <row r="127" ht="13.55" customHeight="1">
      <c r="A127" s="6">
        <v>125</v>
      </c>
      <c r="B127" t="s" s="7">
        <v>129</v>
      </c>
      <c r="C127" s="11">
        <v>-4.82358776660641</v>
      </c>
      <c r="D127" s="12" cm="1">
        <f t="array" ref="D127">VLOOKUP($B127,'Matrix Output'!$A1:$EJ137,140,FALSE)</f>
        <v>-4.82358776660641</v>
      </c>
      <c r="E127" s="13"/>
      <c r="F127" s="13"/>
    </row>
    <row r="128" ht="13.55" customHeight="1">
      <c r="A128" s="6">
        <v>126</v>
      </c>
      <c r="B128" t="s" s="7">
        <v>130</v>
      </c>
      <c r="C128" s="11">
        <v>-5.03311458515405</v>
      </c>
      <c r="D128" s="12" cm="1">
        <f t="array" ref="D128">VLOOKUP($B128,'Matrix Output'!$A1:$EJ137,140,FALSE)</f>
        <v>-5.03311458515405</v>
      </c>
      <c r="E128" s="13"/>
      <c r="F128" s="13"/>
    </row>
    <row r="129" ht="13.55" customHeight="1">
      <c r="A129" s="6">
        <v>127</v>
      </c>
      <c r="B129" t="s" s="7">
        <v>131</v>
      </c>
      <c r="C129" s="11">
        <v>-5.2111720771302</v>
      </c>
      <c r="D129" s="12" cm="1">
        <f t="array" ref="D129">VLOOKUP($B129,'Matrix Output'!$A1:$EJ137,140,FALSE)</f>
        <v>-5.2111720771302</v>
      </c>
      <c r="E129" s="13"/>
      <c r="F129" s="13"/>
    </row>
    <row r="130" ht="13.55" customHeight="1">
      <c r="A130" s="6">
        <v>128</v>
      </c>
      <c r="B130" t="s" s="7">
        <v>132</v>
      </c>
      <c r="C130" s="11">
        <v>-5.53252093819443</v>
      </c>
      <c r="D130" s="12" cm="1">
        <f t="array" ref="D130">VLOOKUP($B130,'Matrix Output'!$A1:$EJ137,140,FALSE)</f>
        <v>-5.53252093819443</v>
      </c>
      <c r="E130" s="13"/>
      <c r="F130" s="13"/>
    </row>
    <row r="131" ht="13.55" customHeight="1">
      <c r="A131" s="6">
        <v>129</v>
      </c>
      <c r="B131" t="s" s="7">
        <v>133</v>
      </c>
      <c r="C131" s="11">
        <v>-5.55857628514641</v>
      </c>
      <c r="D131" s="12" cm="1">
        <f t="array" ref="D131">VLOOKUP($B131,'Matrix Output'!$A1:$EJ137,140,FALSE)</f>
        <v>-5.55857628514641</v>
      </c>
      <c r="E131" s="13"/>
      <c r="F131" s="13"/>
    </row>
    <row r="132" ht="13.55" customHeight="1">
      <c r="A132" s="6">
        <v>130</v>
      </c>
      <c r="B132" t="s" s="7">
        <v>134</v>
      </c>
      <c r="C132" s="11">
        <v>-5.69069429802854</v>
      </c>
      <c r="D132" s="12" cm="1">
        <f t="array" ref="D132">VLOOKUP($B132,'Matrix Output'!$A1:$EJ137,140,FALSE)</f>
        <v>-5.69069429802854</v>
      </c>
      <c r="E132" s="13"/>
      <c r="F132" s="13"/>
    </row>
    <row r="133" ht="13.55" customHeight="1">
      <c r="A133" s="6">
        <v>131</v>
      </c>
      <c r="B133" t="s" s="7">
        <v>135</v>
      </c>
      <c r="C133" s="11">
        <v>-5.91317296171246</v>
      </c>
      <c r="D133" s="12" cm="1">
        <f t="array" ref="D133">VLOOKUP($B133,'Matrix Output'!$A1:$EJ137,140,FALSE)</f>
        <v>-5.91317296171246</v>
      </c>
      <c r="E133" s="13"/>
      <c r="F133" s="13"/>
    </row>
    <row r="134" ht="13.55" customHeight="1">
      <c r="A134" s="6">
        <v>132</v>
      </c>
      <c r="B134" t="s" s="7">
        <v>136</v>
      </c>
      <c r="C134" s="11">
        <v>-5.94609839358734</v>
      </c>
      <c r="D134" s="12" cm="1">
        <f t="array" ref="D134">VLOOKUP($B134,'Matrix Output'!$A1:$EJ137,140,FALSE)</f>
        <v>-5.94609839358734</v>
      </c>
      <c r="E134" s="13"/>
      <c r="F134" s="13"/>
    </row>
    <row r="135" ht="13.55" customHeight="1">
      <c r="A135" s="6">
        <v>133</v>
      </c>
      <c r="B135" t="s" s="7">
        <v>137</v>
      </c>
      <c r="C135" s="11">
        <v>-6.85729246652121</v>
      </c>
      <c r="D135" s="12" cm="1">
        <f t="array" ref="D135">VLOOKUP($B135,'Matrix Output'!$A1:$EJ137,140,FALSE)</f>
        <v>-6.85729246652121</v>
      </c>
      <c r="E135" s="13"/>
      <c r="F135" s="13"/>
    </row>
    <row r="136" ht="13.55" customHeight="1">
      <c r="A136" s="6">
        <v>134</v>
      </c>
      <c r="B136" t="s" s="7">
        <v>138</v>
      </c>
      <c r="C136" s="11">
        <v>-7.42780318353212</v>
      </c>
      <c r="D136" s="12" cm="1">
        <f t="array" ref="D136">VLOOKUP($B136,'Matrix Output'!$A1:$EJ137,140,FALSE)</f>
        <v>-7.42780318353212</v>
      </c>
      <c r="E136" s="13"/>
      <c r="F136" s="13"/>
    </row>
    <row r="137" ht="13.55" customHeight="1">
      <c r="A137" s="6">
        <v>135</v>
      </c>
      <c r="B137" t="s" s="7">
        <v>139</v>
      </c>
      <c r="C137" s="11">
        <v>-7.85541016002437</v>
      </c>
      <c r="D137" s="12" cm="1">
        <f t="array" ref="D137">VLOOKUP($B137,'Matrix Output'!$A1:$EJ137,140,FALSE)</f>
        <v>-7.85541016002437</v>
      </c>
      <c r="E137" s="13"/>
      <c r="F137" s="13"/>
    </row>
    <row r="138" ht="13.55" customHeight="1">
      <c r="A138" s="6">
        <v>136</v>
      </c>
      <c r="B138" t="s" s="7">
        <v>140</v>
      </c>
      <c r="C138" s="11">
        <v>-9.31654300434057</v>
      </c>
      <c r="D138" s="12" cm="1">
        <f t="array" ref="D138">VLOOKUP($B138,'Matrix Output'!$A1:$EJ137,140,FALSE)</f>
        <v>-9.31654300434057</v>
      </c>
      <c r="E138" s="13"/>
      <c r="F138" s="13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J137"/>
  <sheetViews>
    <sheetView workbookViewId="0" showGridLines="0" defaultGridColor="1"/>
  </sheetViews>
  <sheetFormatPr defaultColWidth="8.83333" defaultRowHeight="15" customHeight="1" outlineLevelRow="0" outlineLevelCol="0"/>
  <cols>
    <col min="1" max="137" width="8.85156" style="16" customWidth="1"/>
    <col min="138" max="138" width="19.1406" style="16" customWidth="1"/>
    <col min="139" max="139" width="22.3438" style="16" customWidth="1"/>
    <col min="140" max="140" width="17" style="16" customWidth="1"/>
    <col min="141" max="16384" width="8.85156" style="16" customWidth="1"/>
  </cols>
  <sheetData>
    <row r="1" ht="13.55" customHeight="1">
      <c r="A1" s="17"/>
      <c r="B1" t="s" s="7">
        <v>141</v>
      </c>
      <c r="C1" t="s" s="7">
        <v>142</v>
      </c>
      <c r="D1" t="s" s="7">
        <v>143</v>
      </c>
      <c r="E1" t="s" s="7">
        <v>144</v>
      </c>
      <c r="F1" t="s" s="7">
        <v>145</v>
      </c>
      <c r="G1" t="s" s="7">
        <v>146</v>
      </c>
      <c r="H1" t="s" s="7">
        <v>147</v>
      </c>
      <c r="I1" t="s" s="7">
        <v>148</v>
      </c>
      <c r="J1" t="s" s="7">
        <v>149</v>
      </c>
      <c r="K1" t="s" s="7">
        <v>150</v>
      </c>
      <c r="L1" t="s" s="7">
        <v>151</v>
      </c>
      <c r="M1" t="s" s="7">
        <v>152</v>
      </c>
      <c r="N1" t="s" s="7">
        <v>153</v>
      </c>
      <c r="O1" t="s" s="7">
        <v>154</v>
      </c>
      <c r="P1" t="s" s="7">
        <v>155</v>
      </c>
      <c r="Q1" t="s" s="7">
        <v>156</v>
      </c>
      <c r="R1" t="s" s="7">
        <v>157</v>
      </c>
      <c r="S1" t="s" s="7">
        <v>158</v>
      </c>
      <c r="T1" t="s" s="7">
        <v>159</v>
      </c>
      <c r="U1" t="s" s="7">
        <v>160</v>
      </c>
      <c r="V1" t="s" s="7">
        <v>161</v>
      </c>
      <c r="W1" t="s" s="7">
        <v>162</v>
      </c>
      <c r="X1" t="s" s="7">
        <v>163</v>
      </c>
      <c r="Y1" t="s" s="7">
        <v>164</v>
      </c>
      <c r="Z1" t="s" s="7">
        <v>165</v>
      </c>
      <c r="AA1" t="s" s="7">
        <v>166</v>
      </c>
      <c r="AB1" t="s" s="7">
        <v>167</v>
      </c>
      <c r="AC1" t="s" s="7">
        <v>168</v>
      </c>
      <c r="AD1" t="s" s="7">
        <v>169</v>
      </c>
      <c r="AE1" t="s" s="7">
        <v>170</v>
      </c>
      <c r="AF1" t="s" s="7">
        <v>171</v>
      </c>
      <c r="AG1" t="s" s="7">
        <v>172</v>
      </c>
      <c r="AH1" t="s" s="7">
        <v>173</v>
      </c>
      <c r="AI1" t="s" s="7">
        <v>174</v>
      </c>
      <c r="AJ1" t="s" s="7">
        <v>175</v>
      </c>
      <c r="AK1" t="s" s="7">
        <v>176</v>
      </c>
      <c r="AL1" t="s" s="7">
        <v>177</v>
      </c>
      <c r="AM1" t="s" s="7">
        <v>178</v>
      </c>
      <c r="AN1" t="s" s="7">
        <v>179</v>
      </c>
      <c r="AO1" t="s" s="7">
        <v>180</v>
      </c>
      <c r="AP1" t="s" s="7">
        <v>181</v>
      </c>
      <c r="AQ1" t="s" s="7">
        <v>182</v>
      </c>
      <c r="AR1" t="s" s="7">
        <v>183</v>
      </c>
      <c r="AS1" t="s" s="7">
        <v>184</v>
      </c>
      <c r="AT1" t="s" s="7">
        <v>185</v>
      </c>
      <c r="AU1" t="s" s="7">
        <v>186</v>
      </c>
      <c r="AV1" t="s" s="7">
        <v>187</v>
      </c>
      <c r="AW1" t="s" s="7">
        <v>188</v>
      </c>
      <c r="AX1" t="s" s="7">
        <v>189</v>
      </c>
      <c r="AY1" t="s" s="7">
        <v>190</v>
      </c>
      <c r="AZ1" t="s" s="7">
        <v>191</v>
      </c>
      <c r="BA1" t="s" s="7">
        <v>192</v>
      </c>
      <c r="BB1" t="s" s="7">
        <v>193</v>
      </c>
      <c r="BC1" t="s" s="7">
        <v>194</v>
      </c>
      <c r="BD1" t="s" s="7">
        <v>195</v>
      </c>
      <c r="BE1" t="s" s="7">
        <v>196</v>
      </c>
      <c r="BF1" t="s" s="7">
        <v>197</v>
      </c>
      <c r="BG1" t="s" s="7">
        <v>198</v>
      </c>
      <c r="BH1" t="s" s="7">
        <v>199</v>
      </c>
      <c r="BI1" t="s" s="7">
        <v>200</v>
      </c>
      <c r="BJ1" t="s" s="7">
        <v>201</v>
      </c>
      <c r="BK1" t="s" s="7">
        <v>202</v>
      </c>
      <c r="BL1" t="s" s="7">
        <v>203</v>
      </c>
      <c r="BM1" t="s" s="7">
        <v>204</v>
      </c>
      <c r="BN1" t="s" s="7">
        <v>205</v>
      </c>
      <c r="BO1" t="s" s="7">
        <v>206</v>
      </c>
      <c r="BP1" t="s" s="7">
        <v>207</v>
      </c>
      <c r="BQ1" t="s" s="7">
        <v>208</v>
      </c>
      <c r="BR1" t="s" s="7">
        <v>209</v>
      </c>
      <c r="BS1" t="s" s="7">
        <v>210</v>
      </c>
      <c r="BT1" t="s" s="7">
        <v>211</v>
      </c>
      <c r="BU1" t="s" s="7">
        <v>212</v>
      </c>
      <c r="BV1" t="s" s="7">
        <v>213</v>
      </c>
      <c r="BW1" t="s" s="7">
        <v>214</v>
      </c>
      <c r="BX1" t="s" s="7">
        <v>215</v>
      </c>
      <c r="BY1" t="s" s="7">
        <v>216</v>
      </c>
      <c r="BZ1" t="s" s="7">
        <v>217</v>
      </c>
      <c r="CA1" t="s" s="7">
        <v>218</v>
      </c>
      <c r="CB1" t="s" s="7">
        <v>219</v>
      </c>
      <c r="CC1" t="s" s="7">
        <v>220</v>
      </c>
      <c r="CD1" t="s" s="7">
        <v>221</v>
      </c>
      <c r="CE1" t="s" s="7">
        <v>222</v>
      </c>
      <c r="CF1" t="s" s="7">
        <v>223</v>
      </c>
      <c r="CG1" t="s" s="7">
        <v>224</v>
      </c>
      <c r="CH1" t="s" s="7">
        <v>225</v>
      </c>
      <c r="CI1" t="s" s="7">
        <v>226</v>
      </c>
      <c r="CJ1" t="s" s="7">
        <v>227</v>
      </c>
      <c r="CK1" t="s" s="7">
        <v>228</v>
      </c>
      <c r="CL1" t="s" s="7">
        <v>229</v>
      </c>
      <c r="CM1" t="s" s="7">
        <v>230</v>
      </c>
      <c r="CN1" t="s" s="7">
        <v>231</v>
      </c>
      <c r="CO1" t="s" s="7">
        <v>232</v>
      </c>
      <c r="CP1" t="s" s="7">
        <v>233</v>
      </c>
      <c r="CQ1" t="s" s="7">
        <v>234</v>
      </c>
      <c r="CR1" t="s" s="7">
        <v>235</v>
      </c>
      <c r="CS1" t="s" s="7">
        <v>236</v>
      </c>
      <c r="CT1" t="s" s="7">
        <v>237</v>
      </c>
      <c r="CU1" t="s" s="7">
        <v>238</v>
      </c>
      <c r="CV1" t="s" s="7">
        <v>239</v>
      </c>
      <c r="CW1" t="s" s="7">
        <v>240</v>
      </c>
      <c r="CX1" t="s" s="7">
        <v>241</v>
      </c>
      <c r="CY1" t="s" s="7">
        <v>242</v>
      </c>
      <c r="CZ1" t="s" s="7">
        <v>243</v>
      </c>
      <c r="DA1" t="s" s="7">
        <v>244</v>
      </c>
      <c r="DB1" t="s" s="7">
        <v>245</v>
      </c>
      <c r="DC1" t="s" s="7">
        <v>246</v>
      </c>
      <c r="DD1" t="s" s="7">
        <v>247</v>
      </c>
      <c r="DE1" t="s" s="7">
        <v>248</v>
      </c>
      <c r="DF1" t="s" s="7">
        <v>249</v>
      </c>
      <c r="DG1" t="s" s="7">
        <v>250</v>
      </c>
      <c r="DH1" t="s" s="7">
        <v>251</v>
      </c>
      <c r="DI1" t="s" s="7">
        <v>252</v>
      </c>
      <c r="DJ1" t="s" s="7">
        <v>253</v>
      </c>
      <c r="DK1" t="s" s="7">
        <v>254</v>
      </c>
      <c r="DL1" t="s" s="7">
        <v>255</v>
      </c>
      <c r="DM1" t="s" s="7">
        <v>256</v>
      </c>
      <c r="DN1" t="s" s="7">
        <v>257</v>
      </c>
      <c r="DO1" t="s" s="7">
        <v>258</v>
      </c>
      <c r="DP1" t="s" s="7">
        <v>259</v>
      </c>
      <c r="DQ1" t="s" s="7">
        <v>260</v>
      </c>
      <c r="DR1" t="s" s="7">
        <v>261</v>
      </c>
      <c r="DS1" t="s" s="7">
        <v>262</v>
      </c>
      <c r="DT1" t="s" s="7">
        <v>263</v>
      </c>
      <c r="DU1" t="s" s="7">
        <v>264</v>
      </c>
      <c r="DV1" t="s" s="7">
        <v>265</v>
      </c>
      <c r="DW1" t="s" s="7">
        <v>266</v>
      </c>
      <c r="DX1" t="s" s="7">
        <v>267</v>
      </c>
      <c r="DY1" t="s" s="7">
        <v>268</v>
      </c>
      <c r="DZ1" t="s" s="7">
        <v>269</v>
      </c>
      <c r="EA1" t="s" s="7">
        <v>270</v>
      </c>
      <c r="EB1" t="s" s="7">
        <v>271</v>
      </c>
      <c r="EC1" t="s" s="7">
        <v>272</v>
      </c>
      <c r="ED1" t="s" s="7">
        <v>273</v>
      </c>
      <c r="EE1" t="s" s="7">
        <v>274</v>
      </c>
      <c r="EF1" t="s" s="7">
        <v>275</v>
      </c>
      <c r="EG1" t="s" s="7">
        <v>276</v>
      </c>
      <c r="EH1" t="s" s="18">
        <v>277</v>
      </c>
      <c r="EI1" t="s" s="18">
        <v>278</v>
      </c>
      <c r="EJ1" t="s" s="19">
        <v>279</v>
      </c>
    </row>
    <row r="2" ht="13.55" customHeight="1">
      <c r="A2" t="s" s="7">
        <v>86</v>
      </c>
      <c r="B2" s="20">
        <v>0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0.875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0</v>
      </c>
      <c r="AW2" s="21">
        <v>0</v>
      </c>
      <c r="AX2" s="21">
        <v>0</v>
      </c>
      <c r="AY2" s="21">
        <v>0</v>
      </c>
      <c r="AZ2" s="21">
        <v>0</v>
      </c>
      <c r="BA2" s="21">
        <v>0</v>
      </c>
      <c r="BB2" s="21">
        <v>0</v>
      </c>
      <c r="BC2" s="21">
        <v>0</v>
      </c>
      <c r="BD2" s="21">
        <v>1.125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  <c r="BP2" s="21">
        <v>0</v>
      </c>
      <c r="BQ2" s="21">
        <v>0</v>
      </c>
      <c r="BR2" s="21">
        <v>0</v>
      </c>
      <c r="BS2" s="21">
        <v>0</v>
      </c>
      <c r="BT2" s="21">
        <v>0</v>
      </c>
      <c r="BU2" s="21">
        <v>0</v>
      </c>
      <c r="BV2" s="21">
        <v>0</v>
      </c>
      <c r="BW2" s="21">
        <v>0</v>
      </c>
      <c r="BX2" s="21">
        <v>0</v>
      </c>
      <c r="BY2" s="21">
        <v>0</v>
      </c>
      <c r="BZ2" s="21">
        <v>0</v>
      </c>
      <c r="CA2" s="21">
        <v>0</v>
      </c>
      <c r="CB2" s="21">
        <v>-0.875</v>
      </c>
      <c r="CC2" s="21">
        <v>-0.875</v>
      </c>
      <c r="CD2" s="21">
        <v>0</v>
      </c>
      <c r="CE2" s="21">
        <v>0</v>
      </c>
      <c r="CF2" s="21">
        <v>0</v>
      </c>
      <c r="CG2" s="21">
        <v>0</v>
      </c>
      <c r="CH2" s="21">
        <v>0</v>
      </c>
      <c r="CI2" s="21">
        <v>1.125</v>
      </c>
      <c r="CJ2" s="21">
        <v>0</v>
      </c>
      <c r="CK2" s="21">
        <v>0</v>
      </c>
      <c r="CL2" s="21">
        <v>0</v>
      </c>
      <c r="CM2" s="21">
        <v>0</v>
      </c>
      <c r="CN2" s="21">
        <v>0</v>
      </c>
      <c r="CO2" s="21">
        <v>0</v>
      </c>
      <c r="CP2" s="21">
        <v>0</v>
      </c>
      <c r="CQ2" s="21">
        <v>0</v>
      </c>
      <c r="CR2" s="21">
        <v>0</v>
      </c>
      <c r="CS2" s="21">
        <v>0</v>
      </c>
      <c r="CT2" s="21">
        <v>0</v>
      </c>
      <c r="CU2" s="21">
        <v>0</v>
      </c>
      <c r="CV2" s="21">
        <v>0</v>
      </c>
      <c r="CW2" s="21">
        <v>0</v>
      </c>
      <c r="CX2" s="21">
        <v>0</v>
      </c>
      <c r="CY2" s="21">
        <v>0</v>
      </c>
      <c r="CZ2" s="21">
        <v>-1.125</v>
      </c>
      <c r="DA2" s="21">
        <v>0</v>
      </c>
      <c r="DB2" s="21">
        <v>0</v>
      </c>
      <c r="DC2" s="21">
        <v>0</v>
      </c>
      <c r="DD2" s="21">
        <v>-0.875</v>
      </c>
      <c r="DE2" s="21">
        <v>0</v>
      </c>
      <c r="DF2" s="21">
        <v>0</v>
      </c>
      <c r="DG2" s="21">
        <v>0</v>
      </c>
      <c r="DH2" s="21">
        <v>0</v>
      </c>
      <c r="DI2" s="21">
        <v>0</v>
      </c>
      <c r="DJ2" s="21">
        <v>0</v>
      </c>
      <c r="DK2" s="21">
        <v>0</v>
      </c>
      <c r="DL2" s="21">
        <v>0</v>
      </c>
      <c r="DM2" s="21">
        <v>0</v>
      </c>
      <c r="DN2" s="21">
        <v>0</v>
      </c>
      <c r="DO2" s="21">
        <v>0</v>
      </c>
      <c r="DP2" s="21">
        <v>0</v>
      </c>
      <c r="DQ2" s="21">
        <v>0</v>
      </c>
      <c r="DR2" s="21">
        <v>0</v>
      </c>
      <c r="DS2" s="21">
        <v>0</v>
      </c>
      <c r="DT2" s="21">
        <v>0</v>
      </c>
      <c r="DU2" s="21">
        <v>0</v>
      </c>
      <c r="DV2" s="21">
        <v>0</v>
      </c>
      <c r="DW2" s="21">
        <v>0</v>
      </c>
      <c r="DX2" s="21">
        <v>0</v>
      </c>
      <c r="DY2" s="21">
        <v>0</v>
      </c>
      <c r="DZ2" s="21">
        <v>0</v>
      </c>
      <c r="EA2" s="21">
        <v>0</v>
      </c>
      <c r="EB2" s="21">
        <v>0</v>
      </c>
      <c r="EC2" s="21">
        <v>0</v>
      </c>
      <c r="ED2" s="21">
        <v>0</v>
      </c>
      <c r="EE2" s="21">
        <v>0</v>
      </c>
      <c r="EF2" s="21">
        <v>0</v>
      </c>
      <c r="EG2" s="21">
        <v>0</v>
      </c>
      <c r="EH2" s="21">
        <v>-0.625</v>
      </c>
      <c r="EI2" s="21" cm="1">
        <f t="array" ref="EI2">VLOOKUP(A2,'Opponent List'!$A1:$P137,16,FALSE)</f>
        <v>-0.544601868909119</v>
      </c>
      <c r="EJ2" s="21">
        <v>-1.16960524424737</v>
      </c>
    </row>
    <row r="3" ht="13.55" customHeight="1">
      <c r="A3" t="s" s="7">
        <v>136</v>
      </c>
      <c r="B3" s="22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0</v>
      </c>
      <c r="AS3" s="23">
        <v>-1.125</v>
      </c>
      <c r="AT3" s="23">
        <v>0</v>
      </c>
      <c r="AU3" s="23">
        <v>0</v>
      </c>
      <c r="AV3" s="23">
        <v>0</v>
      </c>
      <c r="AW3" s="23">
        <v>0</v>
      </c>
      <c r="AX3" s="23">
        <v>0</v>
      </c>
      <c r="AY3" s="23">
        <v>0</v>
      </c>
      <c r="AZ3" s="23">
        <v>0</v>
      </c>
      <c r="BA3" s="23">
        <v>0</v>
      </c>
      <c r="BB3" s="23">
        <v>0</v>
      </c>
      <c r="BC3" s="23">
        <v>0</v>
      </c>
      <c r="BD3" s="23">
        <v>0</v>
      </c>
      <c r="BE3" s="23">
        <v>0</v>
      </c>
      <c r="BF3" s="23">
        <v>0</v>
      </c>
      <c r="BG3" s="23">
        <v>0</v>
      </c>
      <c r="BH3" s="23">
        <v>0</v>
      </c>
      <c r="BI3" s="23">
        <v>0.875</v>
      </c>
      <c r="BJ3" s="23">
        <v>0</v>
      </c>
      <c r="BK3" s="23">
        <v>0</v>
      </c>
      <c r="BL3" s="23">
        <v>0</v>
      </c>
      <c r="BM3" s="23">
        <v>0</v>
      </c>
      <c r="BN3" s="23">
        <v>0</v>
      </c>
      <c r="BO3" s="23">
        <v>0</v>
      </c>
      <c r="BP3" s="23">
        <v>0</v>
      </c>
      <c r="BQ3" s="23">
        <v>0</v>
      </c>
      <c r="BR3" s="23">
        <v>0</v>
      </c>
      <c r="BS3" s="23">
        <v>0</v>
      </c>
      <c r="BT3" s="23">
        <v>0</v>
      </c>
      <c r="BU3" s="23">
        <v>0</v>
      </c>
      <c r="BV3" s="23">
        <v>0</v>
      </c>
      <c r="BW3" s="23">
        <v>0</v>
      </c>
      <c r="BX3" s="23">
        <v>0</v>
      </c>
      <c r="BY3" s="23">
        <v>0</v>
      </c>
      <c r="BZ3" s="23">
        <v>0</v>
      </c>
      <c r="CA3" s="23">
        <v>0</v>
      </c>
      <c r="CB3" s="23">
        <v>0</v>
      </c>
      <c r="CC3" s="23">
        <v>0</v>
      </c>
      <c r="CD3" s="23">
        <v>0</v>
      </c>
      <c r="CE3" s="23">
        <v>-1.125</v>
      </c>
      <c r="CF3" s="23">
        <v>0</v>
      </c>
      <c r="CG3" s="23">
        <v>0</v>
      </c>
      <c r="CH3" s="23">
        <v>0</v>
      </c>
      <c r="CI3" s="23">
        <v>0</v>
      </c>
      <c r="CJ3" s="23">
        <v>0</v>
      </c>
      <c r="CK3" s="23">
        <v>0</v>
      </c>
      <c r="CL3" s="23">
        <v>0</v>
      </c>
      <c r="CM3" s="23">
        <v>0</v>
      </c>
      <c r="CN3" s="23">
        <v>0</v>
      </c>
      <c r="CO3" s="23">
        <v>0</v>
      </c>
      <c r="CP3" s="23">
        <v>0</v>
      </c>
      <c r="CQ3" s="23">
        <v>0</v>
      </c>
      <c r="CR3" s="23">
        <v>0</v>
      </c>
      <c r="CS3" s="23">
        <v>0</v>
      </c>
      <c r="CT3" s="23">
        <v>0</v>
      </c>
      <c r="CU3" s="23">
        <v>0</v>
      </c>
      <c r="CV3" s="23">
        <v>0</v>
      </c>
      <c r="CW3" s="23">
        <v>0</v>
      </c>
      <c r="CX3" s="23">
        <v>0</v>
      </c>
      <c r="CY3" s="23">
        <v>0</v>
      </c>
      <c r="CZ3" s="23">
        <v>0</v>
      </c>
      <c r="DA3" s="23">
        <v>0</v>
      </c>
      <c r="DB3" s="23">
        <v>0</v>
      </c>
      <c r="DC3" s="23">
        <v>-1.125</v>
      </c>
      <c r="DD3" s="23">
        <v>0</v>
      </c>
      <c r="DE3" s="23">
        <v>0</v>
      </c>
      <c r="DF3" s="23">
        <v>0</v>
      </c>
      <c r="DG3" s="23">
        <v>0</v>
      </c>
      <c r="DH3" s="23">
        <v>0</v>
      </c>
      <c r="DI3" s="23">
        <v>0</v>
      </c>
      <c r="DJ3" s="23">
        <v>0</v>
      </c>
      <c r="DK3" s="23">
        <v>0</v>
      </c>
      <c r="DL3" s="23">
        <v>0</v>
      </c>
      <c r="DM3" s="23">
        <v>0</v>
      </c>
      <c r="DN3" s="23">
        <v>0</v>
      </c>
      <c r="DO3" s="23">
        <v>0</v>
      </c>
      <c r="DP3" s="23">
        <v>0</v>
      </c>
      <c r="DQ3" s="23">
        <v>0</v>
      </c>
      <c r="DR3" s="23">
        <v>0</v>
      </c>
      <c r="DS3" s="23">
        <v>-1.125</v>
      </c>
      <c r="DT3" s="23">
        <v>0</v>
      </c>
      <c r="DU3" s="23">
        <v>0</v>
      </c>
      <c r="DV3" s="23">
        <v>0</v>
      </c>
      <c r="DW3" s="23">
        <v>0</v>
      </c>
      <c r="DX3" s="23">
        <v>0</v>
      </c>
      <c r="DY3" s="23">
        <v>0</v>
      </c>
      <c r="DZ3" s="23">
        <v>0</v>
      </c>
      <c r="EA3" s="23">
        <v>0</v>
      </c>
      <c r="EB3" s="23">
        <v>0</v>
      </c>
      <c r="EC3" s="23">
        <v>-0.875</v>
      </c>
      <c r="ED3" s="23">
        <v>0</v>
      </c>
      <c r="EE3" s="23">
        <v>0</v>
      </c>
      <c r="EF3" s="23">
        <v>0</v>
      </c>
      <c r="EG3" s="23">
        <v>-0.875</v>
      </c>
      <c r="EH3" s="23">
        <v>-5.375</v>
      </c>
      <c r="EI3" s="23" cm="1">
        <f t="array" ref="EI3">VLOOKUP(A3,'Opponent List'!$A1:$P137,16,FALSE)</f>
        <v>-0.57090070877466</v>
      </c>
      <c r="EJ3" s="23">
        <v>-5.94609839358734</v>
      </c>
    </row>
    <row r="4" ht="13.55" customHeight="1">
      <c r="A4" t="s" s="7">
        <v>17</v>
      </c>
      <c r="B4" s="22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0.875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0.875</v>
      </c>
      <c r="AU4" s="23">
        <v>0</v>
      </c>
      <c r="AV4" s="23">
        <v>0</v>
      </c>
      <c r="AW4" s="23">
        <v>0</v>
      </c>
      <c r="AX4" s="23">
        <v>0</v>
      </c>
      <c r="AY4" s="23">
        <v>0</v>
      </c>
      <c r="AZ4" s="23">
        <v>0</v>
      </c>
      <c r="BA4" s="23">
        <v>0</v>
      </c>
      <c r="BB4" s="23">
        <v>0</v>
      </c>
      <c r="BC4" s="23">
        <v>1.125</v>
      </c>
      <c r="BD4" s="23">
        <v>0</v>
      </c>
      <c r="BE4" s="23">
        <v>0.875</v>
      </c>
      <c r="BF4" s="23">
        <v>0</v>
      </c>
      <c r="BG4" s="23">
        <v>0</v>
      </c>
      <c r="BH4" s="23">
        <v>0</v>
      </c>
      <c r="BI4" s="23">
        <v>0</v>
      </c>
      <c r="BJ4" s="23">
        <v>0</v>
      </c>
      <c r="BK4" s="23">
        <v>0</v>
      </c>
      <c r="BL4" s="23">
        <v>0</v>
      </c>
      <c r="BM4" s="23">
        <v>0</v>
      </c>
      <c r="BN4" s="23">
        <v>0</v>
      </c>
      <c r="BO4" s="23">
        <v>0</v>
      </c>
      <c r="BP4" s="23">
        <v>0</v>
      </c>
      <c r="BQ4" s="23">
        <v>0</v>
      </c>
      <c r="BR4" s="23">
        <v>0</v>
      </c>
      <c r="BS4" s="23">
        <v>0</v>
      </c>
      <c r="BT4" s="23">
        <v>0</v>
      </c>
      <c r="BU4" s="23">
        <v>0</v>
      </c>
      <c r="BV4" s="23">
        <v>0</v>
      </c>
      <c r="BW4" s="23">
        <v>0</v>
      </c>
      <c r="BX4" s="23">
        <v>0</v>
      </c>
      <c r="BY4" s="23">
        <v>0</v>
      </c>
      <c r="BZ4" s="23">
        <v>0</v>
      </c>
      <c r="CA4" s="23">
        <v>0</v>
      </c>
      <c r="CB4" s="23">
        <v>0</v>
      </c>
      <c r="CC4" s="23">
        <v>0</v>
      </c>
      <c r="CD4" s="23">
        <v>0</v>
      </c>
      <c r="CE4" s="23">
        <v>0</v>
      </c>
      <c r="CF4" s="23">
        <v>0</v>
      </c>
      <c r="CG4" s="23">
        <v>0</v>
      </c>
      <c r="CH4" s="23">
        <v>0.875</v>
      </c>
      <c r="CI4" s="23">
        <v>0</v>
      </c>
      <c r="CJ4" s="23">
        <v>-0.875</v>
      </c>
      <c r="CK4" s="23">
        <v>0</v>
      </c>
      <c r="CL4" s="23">
        <v>0</v>
      </c>
      <c r="CM4" s="23">
        <v>0</v>
      </c>
      <c r="CN4" s="23">
        <v>0</v>
      </c>
      <c r="CO4" s="23">
        <v>0</v>
      </c>
      <c r="CP4" s="23">
        <v>0</v>
      </c>
      <c r="CQ4" s="23">
        <v>0</v>
      </c>
      <c r="CR4" s="23">
        <v>0</v>
      </c>
      <c r="CS4" s="23">
        <v>0</v>
      </c>
      <c r="CT4" s="23">
        <v>0</v>
      </c>
      <c r="CU4" s="23">
        <v>0</v>
      </c>
      <c r="CV4" s="23">
        <v>0</v>
      </c>
      <c r="CW4" s="23">
        <v>0</v>
      </c>
      <c r="CX4" s="23">
        <v>0</v>
      </c>
      <c r="CY4" s="23">
        <v>0</v>
      </c>
      <c r="CZ4" s="23">
        <v>0</v>
      </c>
      <c r="DA4" s="23">
        <v>0</v>
      </c>
      <c r="DB4" s="23">
        <v>0</v>
      </c>
      <c r="DC4" s="23">
        <v>0</v>
      </c>
      <c r="DD4" s="23">
        <v>0</v>
      </c>
      <c r="DE4" s="23">
        <v>0</v>
      </c>
      <c r="DF4" s="23">
        <v>0</v>
      </c>
      <c r="DG4" s="23">
        <v>0</v>
      </c>
      <c r="DH4" s="23">
        <v>0</v>
      </c>
      <c r="DI4" s="23">
        <v>0</v>
      </c>
      <c r="DJ4" s="23">
        <v>0</v>
      </c>
      <c r="DK4" s="23">
        <v>0</v>
      </c>
      <c r="DL4" s="23">
        <v>0</v>
      </c>
      <c r="DM4" s="23">
        <v>0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0.875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4.625</v>
      </c>
      <c r="EI4" s="23" cm="1">
        <f t="array" ref="EI4">VLOOKUP(A4,'Opponent List'!$A1:$P137,16,FALSE)</f>
        <v>0.603553459855557</v>
      </c>
      <c r="EJ4" s="23">
        <v>5.22830415963158</v>
      </c>
    </row>
    <row r="5" ht="13.55" customHeight="1">
      <c r="A5" t="s" s="7">
        <v>122</v>
      </c>
      <c r="B5" s="22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-1.125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1.125</v>
      </c>
      <c r="AC5" s="23">
        <v>0</v>
      </c>
      <c r="AD5" s="23">
        <v>0</v>
      </c>
      <c r="AE5" s="23">
        <v>0</v>
      </c>
      <c r="AF5" s="23">
        <v>-1.125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v>-0.875</v>
      </c>
      <c r="BA5" s="23">
        <v>0</v>
      </c>
      <c r="BB5" s="23">
        <v>0</v>
      </c>
      <c r="BC5" s="23">
        <v>-0.875</v>
      </c>
      <c r="BD5" s="23">
        <v>0</v>
      </c>
      <c r="BE5" s="23">
        <v>0</v>
      </c>
      <c r="BF5" s="23">
        <v>0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v>0</v>
      </c>
      <c r="BQ5" s="23">
        <v>0</v>
      </c>
      <c r="BR5" s="23">
        <v>0</v>
      </c>
      <c r="BS5" s="23">
        <v>0</v>
      </c>
      <c r="BT5" s="23">
        <v>0</v>
      </c>
      <c r="BU5" s="23">
        <v>0</v>
      </c>
      <c r="BV5" s="23">
        <v>0</v>
      </c>
      <c r="BW5" s="23">
        <v>0</v>
      </c>
      <c r="BX5" s="23">
        <v>0</v>
      </c>
      <c r="BY5" s="23">
        <v>0</v>
      </c>
      <c r="BZ5" s="23">
        <v>-0.875</v>
      </c>
      <c r="CA5" s="23">
        <v>0</v>
      </c>
      <c r="CB5" s="23">
        <v>0</v>
      </c>
      <c r="CC5" s="23">
        <v>0</v>
      </c>
      <c r="CD5" s="23">
        <v>0</v>
      </c>
      <c r="CE5" s="23">
        <v>0</v>
      </c>
      <c r="CF5" s="23">
        <v>0</v>
      </c>
      <c r="CG5" s="23">
        <v>0</v>
      </c>
      <c r="CH5" s="23">
        <v>0</v>
      </c>
      <c r="CI5" s="23">
        <v>0</v>
      </c>
      <c r="CJ5" s="23">
        <v>0</v>
      </c>
      <c r="CK5" s="23">
        <v>0</v>
      </c>
      <c r="CL5" s="23">
        <v>0</v>
      </c>
      <c r="CM5" s="23">
        <v>0</v>
      </c>
      <c r="CN5" s="23">
        <v>0</v>
      </c>
      <c r="CO5" s="23">
        <v>0</v>
      </c>
      <c r="CP5" s="23">
        <v>0</v>
      </c>
      <c r="CQ5" s="23">
        <v>0</v>
      </c>
      <c r="CR5" s="23">
        <v>0</v>
      </c>
      <c r="CS5" s="23">
        <v>0</v>
      </c>
      <c r="CT5" s="23">
        <v>0</v>
      </c>
      <c r="CU5" s="23">
        <v>0</v>
      </c>
      <c r="CV5" s="23">
        <v>0</v>
      </c>
      <c r="CW5" s="23">
        <v>0</v>
      </c>
      <c r="CX5" s="23">
        <v>0</v>
      </c>
      <c r="CY5" s="23">
        <v>0</v>
      </c>
      <c r="CZ5" s="23">
        <v>0</v>
      </c>
      <c r="DA5" s="23">
        <v>0</v>
      </c>
      <c r="DB5" s="23">
        <v>0</v>
      </c>
      <c r="DC5" s="23">
        <v>0</v>
      </c>
      <c r="DD5" s="23">
        <v>0</v>
      </c>
      <c r="DE5" s="23">
        <v>0</v>
      </c>
      <c r="DF5" s="23">
        <v>0</v>
      </c>
      <c r="DG5" s="23">
        <v>0</v>
      </c>
      <c r="DH5" s="23">
        <v>0</v>
      </c>
      <c r="DI5" s="23">
        <v>0</v>
      </c>
      <c r="DJ5" s="23">
        <v>0</v>
      </c>
      <c r="DK5" s="23">
        <v>0</v>
      </c>
      <c r="DL5" s="23">
        <v>0</v>
      </c>
      <c r="DM5" s="23">
        <v>0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-0.875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-4.625</v>
      </c>
      <c r="EI5" s="23" cm="1">
        <f t="array" ref="EI5">VLOOKUP(A5,'Opponent List'!$A1:$P137,16,FALSE)</f>
        <v>0.509819257060046</v>
      </c>
      <c r="EJ5" s="23">
        <v>-4.1152424920869</v>
      </c>
    </row>
    <row r="6" ht="13.55" customHeight="1">
      <c r="A6" t="s" s="7">
        <v>46</v>
      </c>
      <c r="B6" s="22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1.125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  <c r="AM6" s="23">
        <v>-1.125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0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  <c r="BD6" s="23">
        <v>0</v>
      </c>
      <c r="BE6" s="23">
        <v>0</v>
      </c>
      <c r="BF6" s="23">
        <v>0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v>-1.125</v>
      </c>
      <c r="BQ6" s="23">
        <v>0</v>
      </c>
      <c r="BR6" s="23">
        <v>0</v>
      </c>
      <c r="BS6" s="23">
        <v>0</v>
      </c>
      <c r="BT6" s="23">
        <v>0</v>
      </c>
      <c r="BU6" s="23">
        <v>0</v>
      </c>
      <c r="BV6" s="23">
        <v>0</v>
      </c>
      <c r="BW6" s="23">
        <v>0</v>
      </c>
      <c r="BX6" s="23">
        <v>0</v>
      </c>
      <c r="BY6" s="23">
        <v>0</v>
      </c>
      <c r="BZ6" s="23">
        <v>0</v>
      </c>
      <c r="CA6" s="23">
        <v>0</v>
      </c>
      <c r="CB6" s="23">
        <v>0</v>
      </c>
      <c r="CC6" s="23">
        <v>0</v>
      </c>
      <c r="CD6" s="23">
        <v>0</v>
      </c>
      <c r="CE6" s="23">
        <v>0</v>
      </c>
      <c r="CF6" s="23">
        <v>0</v>
      </c>
      <c r="CG6" s="23">
        <v>0</v>
      </c>
      <c r="CH6" s="23">
        <v>-0.875</v>
      </c>
      <c r="CI6" s="23">
        <v>0</v>
      </c>
      <c r="CJ6" s="23">
        <v>0</v>
      </c>
      <c r="CK6" s="23">
        <v>0</v>
      </c>
      <c r="CL6" s="23">
        <v>0</v>
      </c>
      <c r="CM6" s="23">
        <v>0</v>
      </c>
      <c r="CN6" s="23">
        <v>0</v>
      </c>
      <c r="CO6" s="23">
        <v>0</v>
      </c>
      <c r="CP6" s="23">
        <v>0</v>
      </c>
      <c r="CQ6" s="23">
        <v>0</v>
      </c>
      <c r="CR6" s="23">
        <v>0</v>
      </c>
      <c r="CS6" s="23">
        <v>0</v>
      </c>
      <c r="CT6" s="23">
        <v>0</v>
      </c>
      <c r="CU6" s="23">
        <v>0</v>
      </c>
      <c r="CV6" s="23">
        <v>0</v>
      </c>
      <c r="CW6" s="23">
        <v>0</v>
      </c>
      <c r="CX6" s="23">
        <v>1.125</v>
      </c>
      <c r="CY6" s="23">
        <v>1.125</v>
      </c>
      <c r="CZ6" s="23">
        <v>0</v>
      </c>
      <c r="DA6" s="23">
        <v>0</v>
      </c>
      <c r="DB6" s="23">
        <v>0.875</v>
      </c>
      <c r="DC6" s="23">
        <v>0</v>
      </c>
      <c r="DD6" s="23">
        <v>0</v>
      </c>
      <c r="DE6" s="23">
        <v>0</v>
      </c>
      <c r="DF6" s="23">
        <v>0</v>
      </c>
      <c r="DG6" s="23">
        <v>0</v>
      </c>
      <c r="DH6" s="23">
        <v>0</v>
      </c>
      <c r="DI6" s="23">
        <v>0</v>
      </c>
      <c r="DJ6" s="23">
        <v>0</v>
      </c>
      <c r="DK6" s="23">
        <v>0</v>
      </c>
      <c r="DL6" s="23">
        <v>0</v>
      </c>
      <c r="DM6" s="23">
        <v>0</v>
      </c>
      <c r="DN6" s="23">
        <v>0</v>
      </c>
      <c r="DO6" s="23">
        <v>0</v>
      </c>
      <c r="DP6" s="23">
        <v>0</v>
      </c>
      <c r="DQ6" s="23">
        <v>0</v>
      </c>
      <c r="DR6" s="23">
        <v>0</v>
      </c>
      <c r="DS6" s="23">
        <v>0</v>
      </c>
      <c r="DT6" s="23">
        <v>0</v>
      </c>
      <c r="DU6" s="23">
        <v>0</v>
      </c>
      <c r="DV6" s="23">
        <v>0</v>
      </c>
      <c r="DW6" s="23">
        <v>0</v>
      </c>
      <c r="DX6" s="23">
        <v>0</v>
      </c>
      <c r="DY6" s="23">
        <v>0</v>
      </c>
      <c r="DZ6" s="23">
        <v>0</v>
      </c>
      <c r="EA6" s="23">
        <v>0</v>
      </c>
      <c r="EB6" s="23">
        <v>0</v>
      </c>
      <c r="EC6" s="23">
        <v>0</v>
      </c>
      <c r="ED6" s="23">
        <v>0</v>
      </c>
      <c r="EE6" s="23">
        <v>0</v>
      </c>
      <c r="EF6" s="23">
        <v>0</v>
      </c>
      <c r="EG6" s="23">
        <v>0</v>
      </c>
      <c r="EH6" s="23">
        <v>1.125</v>
      </c>
      <c r="EI6" s="23" cm="1">
        <f t="array" ref="EI6">VLOOKUP(A6,'Opponent List'!$A1:$P137,16,FALSE)</f>
        <v>1.11988585584706</v>
      </c>
      <c r="EJ6" s="23">
        <v>2.24485292723666</v>
      </c>
    </row>
    <row r="7" ht="13.55" customHeight="1">
      <c r="A7" t="s" s="7">
        <v>52</v>
      </c>
      <c r="B7" s="22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-0.875</v>
      </c>
      <c r="AM7" s="23">
        <v>0</v>
      </c>
      <c r="AN7" s="23">
        <v>0.875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0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3">
        <v>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v>0</v>
      </c>
      <c r="BQ7" s="23">
        <v>0</v>
      </c>
      <c r="BR7" s="23">
        <v>0</v>
      </c>
      <c r="BS7" s="23">
        <v>0</v>
      </c>
      <c r="BT7" s="23">
        <v>0</v>
      </c>
      <c r="BU7" s="23">
        <v>0</v>
      </c>
      <c r="BV7" s="23">
        <v>0</v>
      </c>
      <c r="BW7" s="23">
        <v>0</v>
      </c>
      <c r="BX7" s="23">
        <v>0</v>
      </c>
      <c r="BY7" s="23">
        <v>1.125</v>
      </c>
      <c r="BZ7" s="23">
        <v>0</v>
      </c>
      <c r="CA7" s="23">
        <v>0</v>
      </c>
      <c r="CB7" s="23">
        <v>0</v>
      </c>
      <c r="CC7" s="23">
        <v>-0.875</v>
      </c>
      <c r="CD7" s="23">
        <v>0</v>
      </c>
      <c r="CE7" s="23">
        <v>0</v>
      </c>
      <c r="CF7" s="23">
        <v>0</v>
      </c>
      <c r="CG7" s="23">
        <v>0</v>
      </c>
      <c r="CH7" s="23">
        <v>0</v>
      </c>
      <c r="CI7" s="23">
        <v>0</v>
      </c>
      <c r="CJ7" s="23">
        <v>0</v>
      </c>
      <c r="CK7" s="23">
        <v>0</v>
      </c>
      <c r="CL7" s="23">
        <v>-0.875</v>
      </c>
      <c r="CM7" s="23">
        <v>0</v>
      </c>
      <c r="CN7" s="23">
        <v>0</v>
      </c>
      <c r="CO7" s="23">
        <v>0</v>
      </c>
      <c r="CP7" s="23">
        <v>0</v>
      </c>
      <c r="CQ7" s="23">
        <v>0</v>
      </c>
      <c r="CR7" s="23">
        <v>0</v>
      </c>
      <c r="CS7" s="23">
        <v>0</v>
      </c>
      <c r="CT7" s="23">
        <v>0</v>
      </c>
      <c r="CU7" s="23">
        <v>0</v>
      </c>
      <c r="CV7" s="23">
        <v>0</v>
      </c>
      <c r="CW7" s="23">
        <v>0</v>
      </c>
      <c r="CX7" s="23">
        <v>0</v>
      </c>
      <c r="CY7" s="23">
        <v>0</v>
      </c>
      <c r="CZ7" s="23">
        <v>0</v>
      </c>
      <c r="DA7" s="23">
        <v>0</v>
      </c>
      <c r="DB7" s="23">
        <v>0</v>
      </c>
      <c r="DC7" s="23">
        <v>0</v>
      </c>
      <c r="DD7" s="23">
        <v>0</v>
      </c>
      <c r="DE7" s="23">
        <v>0</v>
      </c>
      <c r="DF7" s="23">
        <v>0</v>
      </c>
      <c r="DG7" s="23">
        <v>-0.875</v>
      </c>
      <c r="DH7" s="23">
        <v>0</v>
      </c>
      <c r="DI7" s="23">
        <v>0</v>
      </c>
      <c r="DJ7" s="23">
        <v>0</v>
      </c>
      <c r="DK7" s="23">
        <v>0</v>
      </c>
      <c r="DL7" s="23">
        <v>0</v>
      </c>
      <c r="DM7" s="23">
        <v>0</v>
      </c>
      <c r="DN7" s="23">
        <v>0</v>
      </c>
      <c r="DO7" s="23">
        <v>0</v>
      </c>
      <c r="DP7" s="23">
        <v>0</v>
      </c>
      <c r="DQ7" s="23">
        <v>0</v>
      </c>
      <c r="DR7" s="23">
        <v>0</v>
      </c>
      <c r="DS7" s="23">
        <v>0</v>
      </c>
      <c r="DT7" s="23">
        <v>0</v>
      </c>
      <c r="DU7" s="23">
        <v>0</v>
      </c>
      <c r="DV7" s="23">
        <v>0</v>
      </c>
      <c r="DW7" s="23">
        <v>0.875</v>
      </c>
      <c r="DX7" s="23">
        <v>0</v>
      </c>
      <c r="DY7" s="23">
        <v>0</v>
      </c>
      <c r="DZ7" s="23">
        <v>0</v>
      </c>
      <c r="EA7" s="23">
        <v>0</v>
      </c>
      <c r="EB7" s="23">
        <v>0</v>
      </c>
      <c r="EC7" s="23">
        <v>0</v>
      </c>
      <c r="ED7" s="23">
        <v>0</v>
      </c>
      <c r="EE7" s="23">
        <v>0</v>
      </c>
      <c r="EF7" s="23">
        <v>0</v>
      </c>
      <c r="EG7" s="23">
        <v>0</v>
      </c>
      <c r="EH7" s="23">
        <v>-0.625</v>
      </c>
      <c r="EI7" s="23" cm="1">
        <f t="array" ref="EI7">VLOOKUP(A7,'Opponent List'!$A1:$P137,16,FALSE)</f>
        <v>2.51371270522031</v>
      </c>
      <c r="EJ7" s="23">
        <v>1.88863509001956</v>
      </c>
    </row>
    <row r="8" ht="13.55" customHeight="1">
      <c r="A8" t="s" s="7">
        <v>101</v>
      </c>
      <c r="B8" s="22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-0.875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-0.875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-1.125</v>
      </c>
      <c r="BK8" s="23">
        <v>0</v>
      </c>
      <c r="BL8" s="23">
        <v>-0.875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-0.875</v>
      </c>
      <c r="BS8" s="23">
        <v>0</v>
      </c>
      <c r="BT8" s="23">
        <v>0</v>
      </c>
      <c r="BU8" s="23">
        <v>0</v>
      </c>
      <c r="BV8" s="23">
        <v>0</v>
      </c>
      <c r="BW8" s="23">
        <v>0</v>
      </c>
      <c r="BX8" s="23">
        <v>0</v>
      </c>
      <c r="BY8" s="23">
        <v>0</v>
      </c>
      <c r="BZ8" s="23">
        <v>0</v>
      </c>
      <c r="CA8" s="23">
        <v>0</v>
      </c>
      <c r="CB8" s="23">
        <v>0</v>
      </c>
      <c r="CC8" s="23">
        <v>-1.125</v>
      </c>
      <c r="CD8" s="23">
        <v>0</v>
      </c>
      <c r="CE8" s="23">
        <v>0</v>
      </c>
      <c r="CF8" s="23">
        <v>0</v>
      </c>
      <c r="CG8" s="23">
        <v>0</v>
      </c>
      <c r="CH8" s="23">
        <v>0</v>
      </c>
      <c r="CI8" s="23">
        <v>0</v>
      </c>
      <c r="CJ8" s="23">
        <v>0</v>
      </c>
      <c r="CK8" s="23">
        <v>0</v>
      </c>
      <c r="CL8" s="23">
        <v>0</v>
      </c>
      <c r="CM8" s="23">
        <v>0</v>
      </c>
      <c r="CN8" s="23">
        <v>0</v>
      </c>
      <c r="CO8" s="23">
        <v>0</v>
      </c>
      <c r="CP8" s="23">
        <v>0</v>
      </c>
      <c r="CQ8" s="23">
        <v>0</v>
      </c>
      <c r="CR8" s="23">
        <v>0</v>
      </c>
      <c r="CS8" s="23">
        <v>0</v>
      </c>
      <c r="CT8" s="23">
        <v>0</v>
      </c>
      <c r="CU8" s="23">
        <v>0</v>
      </c>
      <c r="CV8" s="23">
        <v>0</v>
      </c>
      <c r="CW8" s="23">
        <v>0</v>
      </c>
      <c r="CX8" s="23">
        <v>0</v>
      </c>
      <c r="CY8" s="23">
        <v>0</v>
      </c>
      <c r="CZ8" s="23">
        <v>0</v>
      </c>
      <c r="DA8" s="23">
        <v>0</v>
      </c>
      <c r="DB8" s="23">
        <v>0</v>
      </c>
      <c r="DC8" s="23">
        <v>0</v>
      </c>
      <c r="DD8" s="23">
        <v>0</v>
      </c>
      <c r="DE8" s="23">
        <v>0</v>
      </c>
      <c r="DF8" s="23">
        <v>0</v>
      </c>
      <c r="DG8" s="23">
        <v>0</v>
      </c>
      <c r="DH8" s="23">
        <v>0</v>
      </c>
      <c r="DI8" s="23">
        <v>0</v>
      </c>
      <c r="DJ8" s="23">
        <v>0</v>
      </c>
      <c r="DK8" s="23">
        <v>0</v>
      </c>
      <c r="DL8" s="23">
        <v>0</v>
      </c>
      <c r="DM8" s="23">
        <v>0</v>
      </c>
      <c r="DN8" s="23">
        <v>0</v>
      </c>
      <c r="DO8" s="23">
        <v>0</v>
      </c>
      <c r="DP8" s="23">
        <v>0</v>
      </c>
      <c r="DQ8" s="23">
        <v>0</v>
      </c>
      <c r="DR8" s="23">
        <v>0</v>
      </c>
      <c r="DS8" s="23">
        <v>0</v>
      </c>
      <c r="DT8" s="23">
        <v>0</v>
      </c>
      <c r="DU8" s="23">
        <v>0</v>
      </c>
      <c r="DV8" s="23">
        <v>0</v>
      </c>
      <c r="DW8" s="23">
        <v>0</v>
      </c>
      <c r="DX8" s="23">
        <v>0</v>
      </c>
      <c r="DY8" s="23">
        <v>0</v>
      </c>
      <c r="DZ8" s="23">
        <v>0</v>
      </c>
      <c r="EA8" s="23">
        <v>0</v>
      </c>
      <c r="EB8" s="23">
        <v>0</v>
      </c>
      <c r="EC8" s="23">
        <v>0</v>
      </c>
      <c r="ED8" s="23">
        <v>0</v>
      </c>
      <c r="EE8" s="23">
        <v>-0.875</v>
      </c>
      <c r="EF8" s="23">
        <v>0</v>
      </c>
      <c r="EG8" s="23">
        <v>0</v>
      </c>
      <c r="EH8" s="23">
        <v>-6.625</v>
      </c>
      <c r="EI8" s="23" cm="1">
        <f t="array" ref="EI8">VLOOKUP(A8,'Opponent List'!$A1:$P137,16,FALSE)</f>
        <v>4.13126678545615</v>
      </c>
      <c r="EJ8" s="23">
        <v>-2.49383104131239</v>
      </c>
    </row>
    <row r="9" ht="13.55" customHeight="1">
      <c r="A9" t="s" s="7">
        <v>77</v>
      </c>
      <c r="B9" s="22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1.125</v>
      </c>
      <c r="AO9" s="23">
        <v>0</v>
      </c>
      <c r="AP9" s="23">
        <v>0</v>
      </c>
      <c r="AQ9" s="23">
        <v>1.125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0.25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0</v>
      </c>
      <c r="BQ9" s="23">
        <v>0</v>
      </c>
      <c r="BR9" s="23">
        <v>0</v>
      </c>
      <c r="BS9" s="23">
        <v>0</v>
      </c>
      <c r="BT9" s="23">
        <v>0</v>
      </c>
      <c r="BU9" s="23">
        <v>0</v>
      </c>
      <c r="BV9" s="23">
        <v>0</v>
      </c>
      <c r="BW9" s="23">
        <v>0</v>
      </c>
      <c r="BX9" s="23">
        <v>0</v>
      </c>
      <c r="BY9" s="23">
        <v>0</v>
      </c>
      <c r="BZ9" s="23">
        <v>0</v>
      </c>
      <c r="CA9" s="23">
        <v>0</v>
      </c>
      <c r="CB9" s="23">
        <v>0</v>
      </c>
      <c r="CC9" s="23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-1.125</v>
      </c>
      <c r="CM9" s="23">
        <v>0</v>
      </c>
      <c r="CN9" s="23">
        <v>0</v>
      </c>
      <c r="CO9" s="23">
        <v>0</v>
      </c>
      <c r="CP9" s="23">
        <v>0</v>
      </c>
      <c r="CQ9" s="23">
        <v>0</v>
      </c>
      <c r="CR9" s="23">
        <v>0</v>
      </c>
      <c r="CS9" s="23">
        <v>1.125</v>
      </c>
      <c r="CT9" s="23">
        <v>0</v>
      </c>
      <c r="CU9" s="23">
        <v>0</v>
      </c>
      <c r="CV9" s="23">
        <v>0</v>
      </c>
      <c r="CW9" s="23">
        <v>0</v>
      </c>
      <c r="CX9" s="23">
        <v>0</v>
      </c>
      <c r="CY9" s="23">
        <v>0</v>
      </c>
      <c r="CZ9" s="23">
        <v>0</v>
      </c>
      <c r="DA9" s="23">
        <v>0</v>
      </c>
      <c r="DB9" s="23">
        <v>0</v>
      </c>
      <c r="DC9" s="23">
        <v>0</v>
      </c>
      <c r="DD9" s="23">
        <v>-1.125</v>
      </c>
      <c r="DE9" s="23">
        <v>0</v>
      </c>
      <c r="DF9" s="23">
        <v>0</v>
      </c>
      <c r="DG9" s="23">
        <v>0</v>
      </c>
      <c r="DH9" s="23">
        <v>0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0</v>
      </c>
      <c r="DP9" s="23">
        <v>0</v>
      </c>
      <c r="DQ9" s="23">
        <v>0</v>
      </c>
      <c r="DR9" s="23">
        <v>0</v>
      </c>
      <c r="DS9" s="23">
        <v>0</v>
      </c>
      <c r="DT9" s="23">
        <v>0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DZ9" s="23">
        <v>0</v>
      </c>
      <c r="EA9" s="23">
        <v>0</v>
      </c>
      <c r="EB9" s="23">
        <v>0</v>
      </c>
      <c r="EC9" s="23">
        <v>0</v>
      </c>
      <c r="ED9" s="23">
        <v>0</v>
      </c>
      <c r="EE9" s="23">
        <v>0</v>
      </c>
      <c r="EF9" s="23">
        <v>0</v>
      </c>
      <c r="EG9" s="23">
        <v>0</v>
      </c>
      <c r="EH9" s="23">
        <v>1.375</v>
      </c>
      <c r="EI9" s="23" cm="1">
        <f t="array" ref="EI9">VLOOKUP(A9,'Opponent List'!$A1:$P137,16,FALSE)</f>
        <v>-1.91745560871149</v>
      </c>
      <c r="EJ9" s="23">
        <v>-0.54225690934153</v>
      </c>
    </row>
    <row r="10" ht="13.55" customHeight="1">
      <c r="A10" t="s" s="7">
        <v>75</v>
      </c>
      <c r="B10" s="22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0.875</v>
      </c>
      <c r="N10" s="23">
        <v>0</v>
      </c>
      <c r="O10" s="23">
        <v>0</v>
      </c>
      <c r="P10" s="23">
        <v>0</v>
      </c>
      <c r="Q10" s="23">
        <v>0.875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-0.875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1.125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v>0</v>
      </c>
      <c r="BQ10" s="23">
        <v>0</v>
      </c>
      <c r="BR10" s="23">
        <v>0</v>
      </c>
      <c r="BS10" s="23">
        <v>0</v>
      </c>
      <c r="BT10" s="23">
        <v>0</v>
      </c>
      <c r="BU10" s="23">
        <v>0</v>
      </c>
      <c r="BV10" s="23">
        <v>0</v>
      </c>
      <c r="BW10" s="23">
        <v>0</v>
      </c>
      <c r="BX10" s="23">
        <v>0</v>
      </c>
      <c r="BY10" s="23">
        <v>0</v>
      </c>
      <c r="BZ10" s="23">
        <v>0</v>
      </c>
      <c r="CA10" s="23">
        <v>0</v>
      </c>
      <c r="CB10" s="23">
        <v>0</v>
      </c>
      <c r="CC10" s="23">
        <v>0</v>
      </c>
      <c r="CD10" s="23">
        <v>0</v>
      </c>
      <c r="CE10" s="23">
        <v>0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0</v>
      </c>
      <c r="CN10" s="23">
        <v>0</v>
      </c>
      <c r="CO10" s="23">
        <v>0</v>
      </c>
      <c r="CP10" s="23">
        <v>0</v>
      </c>
      <c r="CQ10" s="23">
        <v>0</v>
      </c>
      <c r="CR10" s="23">
        <v>0</v>
      </c>
      <c r="CS10" s="23">
        <v>0</v>
      </c>
      <c r="CT10" s="23">
        <v>0</v>
      </c>
      <c r="CU10" s="23">
        <v>0</v>
      </c>
      <c r="CV10" s="23">
        <v>0</v>
      </c>
      <c r="CW10" s="23">
        <v>0</v>
      </c>
      <c r="CX10" s="23">
        <v>0</v>
      </c>
      <c r="CY10" s="23">
        <v>0</v>
      </c>
      <c r="CZ10" s="23">
        <v>-1.125</v>
      </c>
      <c r="DA10" s="23">
        <v>0</v>
      </c>
      <c r="DB10" s="23">
        <v>0</v>
      </c>
      <c r="DC10" s="23">
        <v>-0.875</v>
      </c>
      <c r="DD10" s="23">
        <v>0</v>
      </c>
      <c r="DE10" s="23">
        <v>0</v>
      </c>
      <c r="DF10" s="23">
        <v>0</v>
      </c>
      <c r="DG10" s="23">
        <v>0</v>
      </c>
      <c r="DH10" s="23">
        <v>0</v>
      </c>
      <c r="DI10" s="23">
        <v>0</v>
      </c>
      <c r="DJ10" s="23">
        <v>0</v>
      </c>
      <c r="DK10" s="23">
        <v>0</v>
      </c>
      <c r="DL10" s="23">
        <v>0</v>
      </c>
      <c r="DM10" s="23">
        <v>0</v>
      </c>
      <c r="DN10" s="23">
        <v>0</v>
      </c>
      <c r="DO10" s="23">
        <v>0</v>
      </c>
      <c r="DP10" s="23">
        <v>1.125</v>
      </c>
      <c r="DQ10" s="23">
        <v>0</v>
      </c>
      <c r="DR10" s="23">
        <v>0</v>
      </c>
      <c r="DS10" s="23">
        <v>0</v>
      </c>
      <c r="DT10" s="23">
        <v>0</v>
      </c>
      <c r="DU10" s="23">
        <v>0</v>
      </c>
      <c r="DV10" s="23">
        <v>0</v>
      </c>
      <c r="DW10" s="23">
        <v>0</v>
      </c>
      <c r="DX10" s="23">
        <v>0</v>
      </c>
      <c r="DY10" s="23">
        <v>0</v>
      </c>
      <c r="DZ10" s="23">
        <v>0</v>
      </c>
      <c r="EA10" s="23">
        <v>0</v>
      </c>
      <c r="EB10" s="23">
        <v>0</v>
      </c>
      <c r="EC10" s="23">
        <v>0</v>
      </c>
      <c r="ED10" s="23">
        <v>0</v>
      </c>
      <c r="EE10" s="23">
        <v>0</v>
      </c>
      <c r="EF10" s="23">
        <v>0</v>
      </c>
      <c r="EG10" s="23">
        <v>0</v>
      </c>
      <c r="EH10" s="23">
        <v>1.125</v>
      </c>
      <c r="EI10" s="23" cm="1">
        <f t="array" ref="EI10">VLOOKUP(A10,'Opponent List'!$A1:$P137,16,FALSE)</f>
        <v>-1.59582467761247</v>
      </c>
      <c r="EJ10" s="23">
        <v>-0.47110027727993</v>
      </c>
    </row>
    <row r="11" ht="13.55" customHeight="1">
      <c r="A11" t="s" s="7">
        <v>44</v>
      </c>
      <c r="B11" s="22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0.875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v>0</v>
      </c>
      <c r="BQ11" s="23">
        <v>0</v>
      </c>
      <c r="BR11" s="23">
        <v>0</v>
      </c>
      <c r="BS11" s="23">
        <v>0</v>
      </c>
      <c r="BT11" s="23">
        <v>0</v>
      </c>
      <c r="BU11" s="23">
        <v>0</v>
      </c>
      <c r="BV11" s="23">
        <v>0</v>
      </c>
      <c r="BW11" s="23">
        <v>0</v>
      </c>
      <c r="BX11" s="23">
        <v>0</v>
      </c>
      <c r="BY11" s="23">
        <v>0.875</v>
      </c>
      <c r="BZ11" s="23">
        <v>0</v>
      </c>
      <c r="CA11" s="23">
        <v>0</v>
      </c>
      <c r="CB11" s="23">
        <v>0</v>
      </c>
      <c r="CC11" s="23">
        <v>0</v>
      </c>
      <c r="CD11" s="23">
        <v>0</v>
      </c>
      <c r="CE11" s="23">
        <v>0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0.875</v>
      </c>
      <c r="CQ11" s="23">
        <v>0</v>
      </c>
      <c r="CR11" s="23">
        <v>0</v>
      </c>
      <c r="CS11" s="23">
        <v>1.125</v>
      </c>
      <c r="CT11" s="23">
        <v>0</v>
      </c>
      <c r="CU11" s="23">
        <v>0</v>
      </c>
      <c r="CV11" s="23">
        <v>0</v>
      </c>
      <c r="CW11" s="23">
        <v>0</v>
      </c>
      <c r="CX11" s="23">
        <v>1.125</v>
      </c>
      <c r="CY11" s="23">
        <v>0</v>
      </c>
      <c r="CZ11" s="23">
        <v>0</v>
      </c>
      <c r="DA11" s="23">
        <v>0</v>
      </c>
      <c r="DB11" s="23">
        <v>-1.125</v>
      </c>
      <c r="DC11" s="23">
        <v>0</v>
      </c>
      <c r="DD11" s="23">
        <v>0</v>
      </c>
      <c r="DE11" s="23">
        <v>0</v>
      </c>
      <c r="DF11" s="23">
        <v>0</v>
      </c>
      <c r="DG11" s="23">
        <v>0</v>
      </c>
      <c r="DH11" s="23">
        <v>0</v>
      </c>
      <c r="DI11" s="23">
        <v>0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0</v>
      </c>
      <c r="DP11" s="23">
        <v>0</v>
      </c>
      <c r="DQ11" s="23">
        <v>0</v>
      </c>
      <c r="DR11" s="23">
        <v>0</v>
      </c>
      <c r="DS11" s="23">
        <v>0</v>
      </c>
      <c r="DT11" s="23">
        <v>0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DZ11" s="23">
        <v>0.875</v>
      </c>
      <c r="EA11" s="23">
        <v>0</v>
      </c>
      <c r="EB11" s="23">
        <v>0</v>
      </c>
      <c r="EC11" s="23">
        <v>0</v>
      </c>
      <c r="ED11" s="23">
        <v>0</v>
      </c>
      <c r="EE11" s="23">
        <v>0</v>
      </c>
      <c r="EF11" s="23">
        <v>0</v>
      </c>
      <c r="EG11" s="23">
        <v>0</v>
      </c>
      <c r="EH11" s="23">
        <v>4.625</v>
      </c>
      <c r="EI11" s="23" cm="1">
        <f t="array" ref="EI11">VLOOKUP(A11,'Opponent List'!$A1:$P137,16,FALSE)</f>
        <v>-2.00051583473146</v>
      </c>
      <c r="EJ11" s="23">
        <v>2.62459139012443</v>
      </c>
    </row>
    <row r="12" ht="13.55" customHeight="1">
      <c r="A12" t="s" s="7">
        <v>56</v>
      </c>
      <c r="B12" s="22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0.875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-0.875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1.125</v>
      </c>
      <c r="AG12" s="23">
        <v>0</v>
      </c>
      <c r="AH12" s="23">
        <v>0</v>
      </c>
      <c r="AI12" s="23">
        <v>0</v>
      </c>
      <c r="AJ12" s="23">
        <v>0</v>
      </c>
      <c r="AK12" s="23">
        <v>0.875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0.875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v>0</v>
      </c>
      <c r="BQ12" s="23">
        <v>0</v>
      </c>
      <c r="BR12" s="23">
        <v>0</v>
      </c>
      <c r="BS12" s="23">
        <v>0</v>
      </c>
      <c r="BT12" s="23">
        <v>0</v>
      </c>
      <c r="BU12" s="23">
        <v>0</v>
      </c>
      <c r="BV12" s="23">
        <v>0</v>
      </c>
      <c r="BW12" s="23">
        <v>0</v>
      </c>
      <c r="BX12" s="23">
        <v>0</v>
      </c>
      <c r="BY12" s="23">
        <v>0</v>
      </c>
      <c r="BZ12" s="23">
        <v>0</v>
      </c>
      <c r="CA12" s="23">
        <v>0</v>
      </c>
      <c r="CB12" s="23">
        <v>0</v>
      </c>
      <c r="CC12" s="23">
        <v>-1.125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0</v>
      </c>
      <c r="CR12" s="23">
        <v>0</v>
      </c>
      <c r="CS12" s="23">
        <v>0</v>
      </c>
      <c r="CT12" s="23">
        <v>0</v>
      </c>
      <c r="CU12" s="23">
        <v>0</v>
      </c>
      <c r="CV12" s="23">
        <v>0</v>
      </c>
      <c r="CW12" s="23">
        <v>0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0</v>
      </c>
      <c r="DD12" s="23">
        <v>0</v>
      </c>
      <c r="DE12" s="23">
        <v>0</v>
      </c>
      <c r="DF12" s="23">
        <v>0</v>
      </c>
      <c r="DG12" s="23">
        <v>0</v>
      </c>
      <c r="DH12" s="23">
        <v>0</v>
      </c>
      <c r="DI12" s="23">
        <v>0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0</v>
      </c>
      <c r="DP12" s="23">
        <v>0</v>
      </c>
      <c r="DQ12" s="23">
        <v>0</v>
      </c>
      <c r="DR12" s="23">
        <v>0</v>
      </c>
      <c r="DS12" s="23">
        <v>0</v>
      </c>
      <c r="DT12" s="23">
        <v>0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DZ12" s="23">
        <v>0.875</v>
      </c>
      <c r="EA12" s="23">
        <v>0</v>
      </c>
      <c r="EB12" s="23">
        <v>0</v>
      </c>
      <c r="EC12" s="23">
        <v>0</v>
      </c>
      <c r="ED12" s="23">
        <v>0</v>
      </c>
      <c r="EE12" s="23">
        <v>0</v>
      </c>
      <c r="EF12" s="23">
        <v>0</v>
      </c>
      <c r="EG12" s="23">
        <v>0</v>
      </c>
      <c r="EH12" s="23">
        <v>2.625</v>
      </c>
      <c r="EI12" s="23" cm="1">
        <f t="array" ref="EI12">VLOOKUP(A12,'Opponent List'!$A1:$P137,16,FALSE)</f>
        <v>-1.01889570404792</v>
      </c>
      <c r="EJ12" s="23">
        <v>1.60624122091741</v>
      </c>
    </row>
    <row r="13" ht="13.55" customHeight="1">
      <c r="A13" t="s" s="7">
        <v>139</v>
      </c>
      <c r="B13" s="22">
        <v>-0.875</v>
      </c>
      <c r="C13" s="23">
        <v>0</v>
      </c>
      <c r="D13" s="23">
        <v>-0.875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-0.875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-0.875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-1.125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v>0</v>
      </c>
      <c r="BQ13" s="23">
        <v>0</v>
      </c>
      <c r="BR13" s="23">
        <v>0</v>
      </c>
      <c r="BS13" s="23">
        <v>0</v>
      </c>
      <c r="BT13" s="23">
        <v>0</v>
      </c>
      <c r="BU13" s="23">
        <v>0</v>
      </c>
      <c r="BV13" s="23">
        <v>0</v>
      </c>
      <c r="BW13" s="23">
        <v>0</v>
      </c>
      <c r="BX13" s="23">
        <v>0</v>
      </c>
      <c r="BY13" s="23">
        <v>0</v>
      </c>
      <c r="BZ13" s="23">
        <v>0</v>
      </c>
      <c r="CA13" s="23">
        <v>0</v>
      </c>
      <c r="CB13" s="23">
        <v>0</v>
      </c>
      <c r="CC13" s="23">
        <v>0</v>
      </c>
      <c r="CD13" s="23">
        <v>0</v>
      </c>
      <c r="CE13" s="23">
        <v>0</v>
      </c>
      <c r="CF13" s="23">
        <v>0</v>
      </c>
      <c r="CG13" s="23">
        <v>0</v>
      </c>
      <c r="CH13" s="23">
        <v>0</v>
      </c>
      <c r="CI13" s="23">
        <v>0</v>
      </c>
      <c r="CJ13" s="23">
        <v>0</v>
      </c>
      <c r="CK13" s="23">
        <v>0</v>
      </c>
      <c r="CL13" s="23">
        <v>0</v>
      </c>
      <c r="CM13" s="23">
        <v>0</v>
      </c>
      <c r="CN13" s="23">
        <v>0</v>
      </c>
      <c r="CO13" s="23">
        <v>0</v>
      </c>
      <c r="CP13" s="23">
        <v>0</v>
      </c>
      <c r="CQ13" s="23">
        <v>0</v>
      </c>
      <c r="CR13" s="23">
        <v>0</v>
      </c>
      <c r="CS13" s="23">
        <v>0</v>
      </c>
      <c r="CT13" s="23">
        <v>0</v>
      </c>
      <c r="CU13" s="23">
        <v>0</v>
      </c>
      <c r="CV13" s="23">
        <v>0</v>
      </c>
      <c r="CW13" s="23">
        <v>-0.875</v>
      </c>
      <c r="CX13" s="23">
        <v>0</v>
      </c>
      <c r="CY13" s="23">
        <v>0</v>
      </c>
      <c r="CZ13" s="23">
        <v>0</v>
      </c>
      <c r="DA13" s="23">
        <v>0</v>
      </c>
      <c r="DB13" s="23">
        <v>0</v>
      </c>
      <c r="DC13" s="23">
        <v>0</v>
      </c>
      <c r="DD13" s="23">
        <v>0</v>
      </c>
      <c r="DE13" s="23">
        <v>0</v>
      </c>
      <c r="DF13" s="23">
        <v>0</v>
      </c>
      <c r="DG13" s="23">
        <v>0</v>
      </c>
      <c r="DH13" s="23">
        <v>0</v>
      </c>
      <c r="DI13" s="23">
        <v>0</v>
      </c>
      <c r="DJ13" s="23">
        <v>-1.125</v>
      </c>
      <c r="DK13" s="23">
        <v>0</v>
      </c>
      <c r="DL13" s="23">
        <v>0</v>
      </c>
      <c r="DM13" s="23">
        <v>0</v>
      </c>
      <c r="DN13" s="23">
        <v>0</v>
      </c>
      <c r="DO13" s="23">
        <v>0</v>
      </c>
      <c r="DP13" s="23">
        <v>0</v>
      </c>
      <c r="DQ13" s="23">
        <v>0</v>
      </c>
      <c r="DR13" s="23">
        <v>0</v>
      </c>
      <c r="DS13" s="23">
        <v>0</v>
      </c>
      <c r="DT13" s="23">
        <v>0</v>
      </c>
      <c r="DU13" s="23">
        <v>0</v>
      </c>
      <c r="DV13" s="23">
        <v>0</v>
      </c>
      <c r="DW13" s="23">
        <v>0</v>
      </c>
      <c r="DX13" s="23">
        <v>0</v>
      </c>
      <c r="DY13" s="23">
        <v>0</v>
      </c>
      <c r="DZ13" s="23">
        <v>0</v>
      </c>
      <c r="EA13" s="23">
        <v>0</v>
      </c>
      <c r="EB13" s="23">
        <v>0</v>
      </c>
      <c r="EC13" s="23">
        <v>0</v>
      </c>
      <c r="ED13" s="23">
        <v>0</v>
      </c>
      <c r="EE13" s="23">
        <v>0</v>
      </c>
      <c r="EF13" s="23">
        <v>0</v>
      </c>
      <c r="EG13" s="23">
        <v>0</v>
      </c>
      <c r="EH13" s="23">
        <v>-6.625</v>
      </c>
      <c r="EI13" s="23" cm="1">
        <f t="array" ref="EI13">VLOOKUP(A13,'Opponent List'!$A1:$P137,16,FALSE)</f>
        <v>-1.23069700498929</v>
      </c>
      <c r="EJ13" s="23">
        <v>-7.85541016002437</v>
      </c>
    </row>
    <row r="14" ht="13.55" customHeight="1">
      <c r="A14" t="s" s="7">
        <v>102</v>
      </c>
      <c r="B14" s="22">
        <v>0</v>
      </c>
      <c r="C14" s="23">
        <v>0</v>
      </c>
      <c r="D14" s="23">
        <v>0</v>
      </c>
      <c r="E14" s="23">
        <v>1.125</v>
      </c>
      <c r="F14" s="23">
        <v>-1.125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-0.875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-0.875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0.875</v>
      </c>
      <c r="BN14" s="23">
        <v>0</v>
      </c>
      <c r="BO14" s="23">
        <v>0</v>
      </c>
      <c r="BP14" s="23">
        <v>0</v>
      </c>
      <c r="BQ14" s="23">
        <v>0</v>
      </c>
      <c r="BR14" s="23">
        <v>0</v>
      </c>
      <c r="BS14" s="23">
        <v>0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23">
        <v>0</v>
      </c>
      <c r="BZ14" s="23">
        <v>0</v>
      </c>
      <c r="CA14" s="23">
        <v>0</v>
      </c>
      <c r="CB14" s="23">
        <v>0</v>
      </c>
      <c r="CC14" s="23">
        <v>0</v>
      </c>
      <c r="CD14" s="23">
        <v>0</v>
      </c>
      <c r="CE14" s="23">
        <v>0</v>
      </c>
      <c r="CF14" s="23">
        <v>0</v>
      </c>
      <c r="CG14" s="23">
        <v>0</v>
      </c>
      <c r="CH14" s="23">
        <v>0</v>
      </c>
      <c r="CI14" s="23">
        <v>0</v>
      </c>
      <c r="CJ14" s="23">
        <v>0</v>
      </c>
      <c r="CK14" s="23">
        <v>0</v>
      </c>
      <c r="CL14" s="23">
        <v>0</v>
      </c>
      <c r="CM14" s="23">
        <v>-0.875</v>
      </c>
      <c r="CN14" s="23">
        <v>0</v>
      </c>
      <c r="CO14" s="23">
        <v>0</v>
      </c>
      <c r="CP14" s="23">
        <v>0</v>
      </c>
      <c r="CQ14" s="23">
        <v>0</v>
      </c>
      <c r="CR14" s="23">
        <v>0</v>
      </c>
      <c r="CS14" s="23">
        <v>0</v>
      </c>
      <c r="CT14" s="23">
        <v>0</v>
      </c>
      <c r="CU14" s="23">
        <v>0</v>
      </c>
      <c r="CV14" s="23">
        <v>0</v>
      </c>
      <c r="CW14" s="23">
        <v>0</v>
      </c>
      <c r="CX14" s="23">
        <v>0</v>
      </c>
      <c r="CY14" s="23">
        <v>0</v>
      </c>
      <c r="CZ14" s="23">
        <v>0</v>
      </c>
      <c r="DA14" s="23">
        <v>0</v>
      </c>
      <c r="DB14" s="23">
        <v>0</v>
      </c>
      <c r="DC14" s="23">
        <v>0</v>
      </c>
      <c r="DD14" s="23">
        <v>0</v>
      </c>
      <c r="DE14" s="23">
        <v>0</v>
      </c>
      <c r="DF14" s="23">
        <v>0</v>
      </c>
      <c r="DG14" s="23">
        <v>0</v>
      </c>
      <c r="DH14" s="23">
        <v>0</v>
      </c>
      <c r="DI14" s="23">
        <v>0</v>
      </c>
      <c r="DJ14" s="23">
        <v>0</v>
      </c>
      <c r="DK14" s="23">
        <v>0</v>
      </c>
      <c r="DL14" s="23">
        <v>0</v>
      </c>
      <c r="DM14" s="23">
        <v>0</v>
      </c>
      <c r="DN14" s="23">
        <v>0</v>
      </c>
      <c r="DO14" s="23">
        <v>0</v>
      </c>
      <c r="DP14" s="23">
        <v>0</v>
      </c>
      <c r="DQ14" s="23">
        <v>0</v>
      </c>
      <c r="DR14" s="23">
        <v>0</v>
      </c>
      <c r="DS14" s="23">
        <v>0</v>
      </c>
      <c r="DT14" s="23">
        <v>0</v>
      </c>
      <c r="DU14" s="23">
        <v>0</v>
      </c>
      <c r="DV14" s="23">
        <v>0</v>
      </c>
      <c r="DW14" s="23">
        <v>0</v>
      </c>
      <c r="DX14" s="23">
        <v>0</v>
      </c>
      <c r="DY14" s="23">
        <v>0</v>
      </c>
      <c r="DZ14" s="23">
        <v>0</v>
      </c>
      <c r="EA14" s="23">
        <v>0</v>
      </c>
      <c r="EB14" s="23">
        <v>0</v>
      </c>
      <c r="EC14" s="23">
        <v>0</v>
      </c>
      <c r="ED14" s="23">
        <v>0</v>
      </c>
      <c r="EE14" s="23">
        <v>0</v>
      </c>
      <c r="EF14" s="23">
        <v>0</v>
      </c>
      <c r="EG14" s="23">
        <v>0.875</v>
      </c>
      <c r="EH14" s="23">
        <v>-0.875</v>
      </c>
      <c r="EI14" s="23" cm="1">
        <f t="array" ref="EI14">VLOOKUP(A14,'Opponent List'!$A1:$P137,16,FALSE)</f>
        <v>-1.66384820988187</v>
      </c>
      <c r="EJ14" s="23">
        <v>-2.53885665448911</v>
      </c>
    </row>
    <row r="15" ht="13.55" customHeight="1">
      <c r="A15" t="s" s="7">
        <v>62</v>
      </c>
      <c r="B15" s="22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  <c r="BZ15" s="23">
        <v>0</v>
      </c>
      <c r="CA15" s="23">
        <v>-0.875</v>
      </c>
      <c r="CB15" s="23">
        <v>0</v>
      </c>
      <c r="CC15" s="23">
        <v>0</v>
      </c>
      <c r="CD15" s="23">
        <v>0</v>
      </c>
      <c r="CE15" s="23">
        <v>0</v>
      </c>
      <c r="CF15" s="23">
        <v>1.125</v>
      </c>
      <c r="CG15" s="23">
        <v>0</v>
      </c>
      <c r="CH15" s="23">
        <v>1.125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0</v>
      </c>
      <c r="CR15" s="23">
        <v>0</v>
      </c>
      <c r="CS15" s="23">
        <v>0</v>
      </c>
      <c r="CT15" s="23">
        <v>0</v>
      </c>
      <c r="CU15" s="23">
        <v>0</v>
      </c>
      <c r="CV15" s="23">
        <v>0</v>
      </c>
      <c r="CW15" s="23">
        <v>0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-1.125</v>
      </c>
      <c r="DD15" s="23">
        <v>0</v>
      </c>
      <c r="DE15" s="23">
        <v>0</v>
      </c>
      <c r="DF15" s="23">
        <v>0</v>
      </c>
      <c r="DG15" s="23">
        <v>-1.125</v>
      </c>
      <c r="DH15" s="23">
        <v>0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0</v>
      </c>
      <c r="DP15" s="23">
        <v>0</v>
      </c>
      <c r="DQ15" s="23">
        <v>0</v>
      </c>
      <c r="DR15" s="23">
        <v>0</v>
      </c>
      <c r="DS15" s="23">
        <v>0</v>
      </c>
      <c r="DT15" s="23">
        <v>0</v>
      </c>
      <c r="DU15" s="23">
        <v>0</v>
      </c>
      <c r="DV15" s="23">
        <v>0</v>
      </c>
      <c r="DW15" s="23">
        <v>0</v>
      </c>
      <c r="DX15" s="23">
        <v>0</v>
      </c>
      <c r="DY15" s="23">
        <v>0.875</v>
      </c>
      <c r="DZ15" s="23">
        <v>0</v>
      </c>
      <c r="EA15" s="23">
        <v>0</v>
      </c>
      <c r="EB15" s="23">
        <v>0</v>
      </c>
      <c r="EC15" s="23">
        <v>0</v>
      </c>
      <c r="ED15" s="23">
        <v>0</v>
      </c>
      <c r="EE15" s="23">
        <v>-0.875</v>
      </c>
      <c r="EF15" s="23">
        <v>0</v>
      </c>
      <c r="EG15" s="23">
        <v>0</v>
      </c>
      <c r="EH15" s="23">
        <v>-0.875</v>
      </c>
      <c r="EI15" s="23" cm="1">
        <f t="array" ref="EI15">VLOOKUP(A15,'Opponent List'!$A1:$P137,16,FALSE)</f>
        <v>1.53899600164764</v>
      </c>
      <c r="EJ15" s="23">
        <v>0.66379483818593</v>
      </c>
    </row>
    <row r="16" ht="13.55" customHeight="1">
      <c r="A16" t="s" s="7">
        <v>74</v>
      </c>
      <c r="B16" s="22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1.125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0.875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-1.125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-0.875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-1.125</v>
      </c>
      <c r="BW16" s="23">
        <v>0</v>
      </c>
      <c r="BX16" s="23">
        <v>0</v>
      </c>
      <c r="BY16" s="23">
        <v>0</v>
      </c>
      <c r="BZ16" s="23">
        <v>0</v>
      </c>
      <c r="CA16" s="23">
        <v>0</v>
      </c>
      <c r="CB16" s="23">
        <v>0</v>
      </c>
      <c r="CC16" s="23">
        <v>0</v>
      </c>
      <c r="CD16" s="23">
        <v>0</v>
      </c>
      <c r="CE16" s="23">
        <v>0</v>
      </c>
      <c r="CF16" s="23">
        <v>0</v>
      </c>
      <c r="CG16" s="23">
        <v>0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0</v>
      </c>
      <c r="CP16" s="23">
        <v>0.875</v>
      </c>
      <c r="CQ16" s="23">
        <v>0</v>
      </c>
      <c r="CR16" s="23">
        <v>0</v>
      </c>
      <c r="CS16" s="23">
        <v>0</v>
      </c>
      <c r="CT16" s="23">
        <v>0</v>
      </c>
      <c r="CU16" s="23">
        <v>0</v>
      </c>
      <c r="CV16" s="23">
        <v>0</v>
      </c>
      <c r="CW16" s="23">
        <v>0</v>
      </c>
      <c r="CX16" s="23">
        <v>0</v>
      </c>
      <c r="CY16" s="23">
        <v>0</v>
      </c>
      <c r="CZ16" s="23">
        <v>0</v>
      </c>
      <c r="DA16" s="23">
        <v>0</v>
      </c>
      <c r="DB16" s="23">
        <v>0</v>
      </c>
      <c r="DC16" s="23">
        <v>0</v>
      </c>
      <c r="DD16" s="23">
        <v>0</v>
      </c>
      <c r="DE16" s="23">
        <v>0</v>
      </c>
      <c r="DF16" s="23">
        <v>0</v>
      </c>
      <c r="DG16" s="23">
        <v>0</v>
      </c>
      <c r="DH16" s="23">
        <v>0</v>
      </c>
      <c r="DI16" s="23">
        <v>0</v>
      </c>
      <c r="DJ16" s="23">
        <v>0</v>
      </c>
      <c r="DK16" s="23">
        <v>0</v>
      </c>
      <c r="DL16" s="23">
        <v>0</v>
      </c>
      <c r="DM16" s="23">
        <v>0</v>
      </c>
      <c r="DN16" s="23">
        <v>0</v>
      </c>
      <c r="DO16" s="23">
        <v>0</v>
      </c>
      <c r="DP16" s="23">
        <v>0</v>
      </c>
      <c r="DQ16" s="23">
        <v>0</v>
      </c>
      <c r="DR16" s="23">
        <v>0</v>
      </c>
      <c r="DS16" s="23">
        <v>0</v>
      </c>
      <c r="DT16" s="23">
        <v>0</v>
      </c>
      <c r="DU16" s="23">
        <v>1.125</v>
      </c>
      <c r="DV16" s="23">
        <v>0</v>
      </c>
      <c r="DW16" s="23">
        <v>0</v>
      </c>
      <c r="DX16" s="23">
        <v>0</v>
      </c>
      <c r="DY16" s="23">
        <v>0</v>
      </c>
      <c r="DZ16" s="23">
        <v>0</v>
      </c>
      <c r="EA16" s="23">
        <v>0</v>
      </c>
      <c r="EB16" s="23">
        <v>0</v>
      </c>
      <c r="EC16" s="23">
        <v>0</v>
      </c>
      <c r="ED16" s="23">
        <v>0</v>
      </c>
      <c r="EE16" s="23">
        <v>0</v>
      </c>
      <c r="EF16" s="23">
        <v>0</v>
      </c>
      <c r="EG16" s="23">
        <v>0</v>
      </c>
      <c r="EH16" s="23">
        <v>0.875</v>
      </c>
      <c r="EI16" s="23" cm="1">
        <f t="array" ref="EI16">VLOOKUP(A16,'Opponent List'!$A1:$P137,16,FALSE)</f>
        <v>-1.34003635937066</v>
      </c>
      <c r="EJ16" s="23">
        <v>-0.46501955700663</v>
      </c>
    </row>
    <row r="17" ht="13.55" customHeight="1">
      <c r="A17" t="s" s="7">
        <v>137</v>
      </c>
      <c r="B17" s="22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-0.875</v>
      </c>
      <c r="K17" s="23">
        <v>0</v>
      </c>
      <c r="L17" s="23">
        <v>0</v>
      </c>
      <c r="M17" s="23">
        <v>0.875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-0.875</v>
      </c>
      <c r="AB17" s="23">
        <v>0</v>
      </c>
      <c r="AC17" s="23">
        <v>-1.125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-0.875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-1.125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-0.875</v>
      </c>
      <c r="BO17" s="23">
        <v>0</v>
      </c>
      <c r="BP17" s="23">
        <v>0</v>
      </c>
      <c r="BQ17" s="23">
        <v>0</v>
      </c>
      <c r="BR17" s="23">
        <v>0</v>
      </c>
      <c r="BS17" s="23">
        <v>0</v>
      </c>
      <c r="BT17" s="23">
        <v>0</v>
      </c>
      <c r="BU17" s="23">
        <v>0</v>
      </c>
      <c r="BV17" s="23">
        <v>0</v>
      </c>
      <c r="BW17" s="23">
        <v>0</v>
      </c>
      <c r="BX17" s="23">
        <v>0</v>
      </c>
      <c r="BY17" s="23">
        <v>0</v>
      </c>
      <c r="BZ17" s="23">
        <v>0</v>
      </c>
      <c r="CA17" s="23">
        <v>0</v>
      </c>
      <c r="CB17" s="23">
        <v>0</v>
      </c>
      <c r="CC17" s="23">
        <v>0</v>
      </c>
      <c r="CD17" s="23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3">
        <v>0</v>
      </c>
      <c r="CS17" s="23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0</v>
      </c>
      <c r="DH17" s="23">
        <v>0</v>
      </c>
      <c r="DI17" s="23">
        <v>0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-4.875</v>
      </c>
      <c r="EI17" s="23" cm="1">
        <f t="array" ref="EI17">VLOOKUP(A17,'Opponent List'!$A1:$P137,16,FALSE)</f>
        <v>-1.98258215321967</v>
      </c>
      <c r="EJ17" s="23">
        <v>-6.85729246652121</v>
      </c>
    </row>
    <row r="18" ht="13.55" customHeight="1">
      <c r="A18" t="s" s="7">
        <v>48</v>
      </c>
      <c r="B18" s="22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0.875</v>
      </c>
      <c r="AE18" s="23">
        <v>0.875</v>
      </c>
      <c r="AF18" s="23">
        <v>0</v>
      </c>
      <c r="AG18" s="23">
        <v>0</v>
      </c>
      <c r="AH18" s="23">
        <v>-1.125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v>0</v>
      </c>
      <c r="BQ18" s="23">
        <v>0</v>
      </c>
      <c r="BR18" s="23">
        <v>0</v>
      </c>
      <c r="BS18" s="23">
        <v>0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23">
        <v>0</v>
      </c>
      <c r="BZ18" s="23">
        <v>0</v>
      </c>
      <c r="CA18" s="23">
        <v>0</v>
      </c>
      <c r="CB18" s="23">
        <v>0</v>
      </c>
      <c r="CC18" s="23">
        <v>0</v>
      </c>
      <c r="CD18" s="23">
        <v>0</v>
      </c>
      <c r="CE18" s="23">
        <v>0.875</v>
      </c>
      <c r="CF18" s="23">
        <v>0</v>
      </c>
      <c r="CG18" s="23">
        <v>0</v>
      </c>
      <c r="CH18" s="23">
        <v>0</v>
      </c>
      <c r="CI18" s="23">
        <v>-0.875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3">
        <v>0</v>
      </c>
      <c r="DG18" s="23">
        <v>0</v>
      </c>
      <c r="DH18" s="23">
        <v>0</v>
      </c>
      <c r="DI18" s="23">
        <v>0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1.125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1.125</v>
      </c>
      <c r="EG18" s="23">
        <v>0</v>
      </c>
      <c r="EH18" s="23">
        <v>2.875</v>
      </c>
      <c r="EI18" s="23" cm="1">
        <f t="array" ref="EI18">VLOOKUP(A18,'Opponent List'!$A1:$P137,16,FALSE)</f>
        <v>-0.717800396755194</v>
      </c>
      <c r="EJ18" s="23">
        <v>2.15718932731102</v>
      </c>
    </row>
    <row r="19" ht="13.55" customHeight="1">
      <c r="A19" t="s" s="7">
        <v>117</v>
      </c>
      <c r="B19" s="22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0.875</v>
      </c>
      <c r="Y19" s="23">
        <v>0</v>
      </c>
      <c r="Z19" s="23">
        <v>0</v>
      </c>
      <c r="AA19" s="23">
        <v>0</v>
      </c>
      <c r="AB19" s="23">
        <v>0</v>
      </c>
      <c r="AC19" s="23">
        <v>-1.125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0.875</v>
      </c>
      <c r="AK19" s="23">
        <v>1.125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v>0</v>
      </c>
      <c r="BQ19" s="23">
        <v>0</v>
      </c>
      <c r="BR19" s="23">
        <v>0</v>
      </c>
      <c r="BS19" s="23">
        <v>0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23">
        <v>0</v>
      </c>
      <c r="BZ19" s="23">
        <v>0</v>
      </c>
      <c r="CA19" s="23">
        <v>0</v>
      </c>
      <c r="CB19" s="23">
        <v>-1.125</v>
      </c>
      <c r="CC19" s="23">
        <v>0</v>
      </c>
      <c r="CD19" s="23">
        <v>0</v>
      </c>
      <c r="CE19" s="23">
        <v>0</v>
      </c>
      <c r="CF19" s="23">
        <v>0</v>
      </c>
      <c r="CG19" s="23">
        <v>0</v>
      </c>
      <c r="CH19" s="23">
        <v>0</v>
      </c>
      <c r="CI19" s="23">
        <v>0</v>
      </c>
      <c r="CJ19" s="23">
        <v>0</v>
      </c>
      <c r="CK19" s="23">
        <v>0</v>
      </c>
      <c r="CL19" s="23">
        <v>0</v>
      </c>
      <c r="CM19" s="23">
        <v>0</v>
      </c>
      <c r="CN19" s="23">
        <v>-0.875</v>
      </c>
      <c r="CO19" s="23">
        <v>0</v>
      </c>
      <c r="CP19" s="23">
        <v>0</v>
      </c>
      <c r="CQ19" s="23">
        <v>-1.125</v>
      </c>
      <c r="CR19" s="23">
        <v>0</v>
      </c>
      <c r="CS19" s="23">
        <v>0</v>
      </c>
      <c r="CT19" s="23">
        <v>0</v>
      </c>
      <c r="CU19" s="23">
        <v>0</v>
      </c>
      <c r="CV19" s="23">
        <v>0</v>
      </c>
      <c r="CW19" s="23">
        <v>0</v>
      </c>
      <c r="CX19" s="23">
        <v>0</v>
      </c>
      <c r="CY19" s="23">
        <v>0</v>
      </c>
      <c r="CZ19" s="23">
        <v>0</v>
      </c>
      <c r="DA19" s="23">
        <v>0</v>
      </c>
      <c r="DB19" s="23">
        <v>0</v>
      </c>
      <c r="DC19" s="23">
        <v>0</v>
      </c>
      <c r="DD19" s="23">
        <v>0</v>
      </c>
      <c r="DE19" s="23">
        <v>0</v>
      </c>
      <c r="DF19" s="23">
        <v>0</v>
      </c>
      <c r="DG19" s="23">
        <v>0</v>
      </c>
      <c r="DH19" s="23">
        <v>0</v>
      </c>
      <c r="DI19" s="23">
        <v>0</v>
      </c>
      <c r="DJ19" s="23">
        <v>0</v>
      </c>
      <c r="DK19" s="23">
        <v>0</v>
      </c>
      <c r="DL19" s="23">
        <v>0</v>
      </c>
      <c r="DM19" s="23">
        <v>0</v>
      </c>
      <c r="DN19" s="23">
        <v>0</v>
      </c>
      <c r="DO19" s="23">
        <v>0</v>
      </c>
      <c r="DP19" s="23">
        <v>0</v>
      </c>
      <c r="DQ19" s="23">
        <v>0</v>
      </c>
      <c r="DR19" s="23">
        <v>0</v>
      </c>
      <c r="DS19" s="23">
        <v>0</v>
      </c>
      <c r="DT19" s="23">
        <v>0</v>
      </c>
      <c r="DU19" s="23">
        <v>0</v>
      </c>
      <c r="DV19" s="23">
        <v>0</v>
      </c>
      <c r="DW19" s="23">
        <v>0</v>
      </c>
      <c r="DX19" s="23">
        <v>0</v>
      </c>
      <c r="DY19" s="23">
        <v>0</v>
      </c>
      <c r="DZ19" s="23">
        <v>0</v>
      </c>
      <c r="EA19" s="23">
        <v>0</v>
      </c>
      <c r="EB19" s="23">
        <v>0</v>
      </c>
      <c r="EC19" s="23">
        <v>0</v>
      </c>
      <c r="ED19" s="23">
        <v>0</v>
      </c>
      <c r="EE19" s="23">
        <v>0</v>
      </c>
      <c r="EF19" s="23">
        <v>0</v>
      </c>
      <c r="EG19" s="23">
        <v>0</v>
      </c>
      <c r="EH19" s="23">
        <v>-1.375</v>
      </c>
      <c r="EI19" s="23" cm="1">
        <f t="array" ref="EI19">VLOOKUP(A19,'Opponent List'!$A1:$P137,16,FALSE)</f>
        <v>-2.40210718357646</v>
      </c>
      <c r="EJ19" s="23">
        <v>-3.77709009717078</v>
      </c>
    </row>
    <row r="20" ht="13.55" customHeight="1">
      <c r="A20" t="s" s="7">
        <v>71</v>
      </c>
      <c r="B20" s="22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0.875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v>0</v>
      </c>
      <c r="BQ20" s="23">
        <v>0.875</v>
      </c>
      <c r="BR20" s="23">
        <v>0</v>
      </c>
      <c r="BS20" s="23">
        <v>0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23">
        <v>0</v>
      </c>
      <c r="BZ20" s="23">
        <v>0</v>
      </c>
      <c r="CA20" s="23">
        <v>0</v>
      </c>
      <c r="CB20" s="23">
        <v>0</v>
      </c>
      <c r="CC20" s="23">
        <v>0</v>
      </c>
      <c r="CD20" s="23">
        <v>0</v>
      </c>
      <c r="CE20" s="23">
        <v>0</v>
      </c>
      <c r="CF20" s="23">
        <v>0</v>
      </c>
      <c r="CG20" s="23">
        <v>-1.125</v>
      </c>
      <c r="CH20" s="23">
        <v>0</v>
      </c>
      <c r="CI20" s="23">
        <v>0</v>
      </c>
      <c r="CJ20" s="23">
        <v>0</v>
      </c>
      <c r="CK20" s="23">
        <v>0</v>
      </c>
      <c r="CL20" s="23">
        <v>0</v>
      </c>
      <c r="CM20" s="23">
        <v>0</v>
      </c>
      <c r="CN20" s="23">
        <v>0</v>
      </c>
      <c r="CO20" s="23">
        <v>0</v>
      </c>
      <c r="CP20" s="23">
        <v>0</v>
      </c>
      <c r="CQ20" s="23">
        <v>0</v>
      </c>
      <c r="CR20" s="23">
        <v>0</v>
      </c>
      <c r="CS20" s="23">
        <v>0</v>
      </c>
      <c r="CT20" s="23">
        <v>0</v>
      </c>
      <c r="CU20" s="23">
        <v>0</v>
      </c>
      <c r="CV20" s="23">
        <v>0</v>
      </c>
      <c r="CW20" s="23">
        <v>0</v>
      </c>
      <c r="CX20" s="23">
        <v>0</v>
      </c>
      <c r="CY20" s="23">
        <v>0</v>
      </c>
      <c r="CZ20" s="23">
        <v>0</v>
      </c>
      <c r="DA20" s="23">
        <v>0</v>
      </c>
      <c r="DB20" s="23">
        <v>0</v>
      </c>
      <c r="DC20" s="23">
        <v>0</v>
      </c>
      <c r="DD20" s="23">
        <v>0</v>
      </c>
      <c r="DE20" s="23">
        <v>0</v>
      </c>
      <c r="DF20" s="23">
        <v>0</v>
      </c>
      <c r="DG20" s="23">
        <v>0</v>
      </c>
      <c r="DH20" s="23">
        <v>0</v>
      </c>
      <c r="DI20" s="23">
        <v>0</v>
      </c>
      <c r="DJ20" s="23">
        <v>0.875</v>
      </c>
      <c r="DK20" s="23">
        <v>0</v>
      </c>
      <c r="DL20" s="23">
        <v>0</v>
      </c>
      <c r="DM20" s="23">
        <v>0</v>
      </c>
      <c r="DN20" s="23">
        <v>-0.875</v>
      </c>
      <c r="DO20" s="23">
        <v>0</v>
      </c>
      <c r="DP20" s="23">
        <v>0</v>
      </c>
      <c r="DQ20" s="23">
        <v>0</v>
      </c>
      <c r="DR20" s="23">
        <v>0</v>
      </c>
      <c r="DS20" s="23">
        <v>0</v>
      </c>
      <c r="DT20" s="23">
        <v>0</v>
      </c>
      <c r="DU20" s="23">
        <v>0</v>
      </c>
      <c r="DV20" s="23">
        <v>0</v>
      </c>
      <c r="DW20" s="23">
        <v>0</v>
      </c>
      <c r="DX20" s="23">
        <v>0</v>
      </c>
      <c r="DY20" s="23">
        <v>0</v>
      </c>
      <c r="DZ20" s="23">
        <v>0</v>
      </c>
      <c r="EA20" s="23">
        <v>-0.875</v>
      </c>
      <c r="EB20" s="23">
        <v>0</v>
      </c>
      <c r="EC20" s="23">
        <v>0</v>
      </c>
      <c r="ED20" s="23">
        <v>0</v>
      </c>
      <c r="EE20" s="23">
        <v>0</v>
      </c>
      <c r="EF20" s="23">
        <v>0</v>
      </c>
      <c r="EG20" s="23">
        <v>1.125</v>
      </c>
      <c r="EH20" s="23">
        <v>0.875</v>
      </c>
      <c r="EI20" s="23" cm="1">
        <f t="array" ref="EI20">VLOOKUP(A20,'Opponent List'!$A1:$P137,16,FALSE)</f>
        <v>-0.856557686892793</v>
      </c>
      <c r="EJ20" s="23">
        <v>0.018556443215437</v>
      </c>
    </row>
    <row r="21" ht="13.55" customHeight="1">
      <c r="A21" t="s" s="7">
        <v>126</v>
      </c>
      <c r="B21" s="22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-1.125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-0.875</v>
      </c>
      <c r="AS21" s="23">
        <v>0</v>
      </c>
      <c r="AT21" s="23">
        <v>0</v>
      </c>
      <c r="AU21" s="23">
        <v>0</v>
      </c>
      <c r="AV21" s="23">
        <v>-1.125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-0.875</v>
      </c>
      <c r="BK21" s="23">
        <v>0</v>
      </c>
      <c r="BL21" s="23">
        <v>0</v>
      </c>
      <c r="BM21" s="23">
        <v>0</v>
      </c>
      <c r="BN21" s="23">
        <v>0</v>
      </c>
      <c r="BO21" s="23">
        <v>-0.875</v>
      </c>
      <c r="BP21" s="23">
        <v>0</v>
      </c>
      <c r="BQ21" s="23">
        <v>0</v>
      </c>
      <c r="BR21" s="23">
        <v>0</v>
      </c>
      <c r="BS21" s="23">
        <v>0</v>
      </c>
      <c r="BT21" s="23">
        <v>0</v>
      </c>
      <c r="BU21" s="23">
        <v>0</v>
      </c>
      <c r="BV21" s="23">
        <v>0</v>
      </c>
      <c r="BW21" s="23">
        <v>0</v>
      </c>
      <c r="BX21" s="23">
        <v>0</v>
      </c>
      <c r="BY21" s="23">
        <v>0</v>
      </c>
      <c r="BZ21" s="23">
        <v>0</v>
      </c>
      <c r="CA21" s="23">
        <v>0</v>
      </c>
      <c r="CB21" s="23">
        <v>0</v>
      </c>
      <c r="CC21" s="23">
        <v>0</v>
      </c>
      <c r="CD21" s="23">
        <v>0</v>
      </c>
      <c r="CE21" s="23">
        <v>0</v>
      </c>
      <c r="CF21" s="23">
        <v>0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-0.875</v>
      </c>
      <c r="CM21" s="23">
        <v>0</v>
      </c>
      <c r="CN21" s="23">
        <v>0</v>
      </c>
      <c r="CO21" s="23">
        <v>0</v>
      </c>
      <c r="CP21" s="23">
        <v>0</v>
      </c>
      <c r="CQ21" s="23">
        <v>0</v>
      </c>
      <c r="CR21" s="23">
        <v>0</v>
      </c>
      <c r="CS21" s="23">
        <v>0</v>
      </c>
      <c r="CT21" s="23">
        <v>0</v>
      </c>
      <c r="CU21" s="23">
        <v>0</v>
      </c>
      <c r="CV21" s="23">
        <v>0</v>
      </c>
      <c r="CW21" s="23">
        <v>0</v>
      </c>
      <c r="CX21" s="23">
        <v>0</v>
      </c>
      <c r="CY21" s="23">
        <v>0</v>
      </c>
      <c r="CZ21" s="23">
        <v>0</v>
      </c>
      <c r="DA21" s="23">
        <v>0</v>
      </c>
      <c r="DB21" s="23">
        <v>0</v>
      </c>
      <c r="DC21" s="23">
        <v>0</v>
      </c>
      <c r="DD21" s="23">
        <v>0</v>
      </c>
      <c r="DE21" s="23">
        <v>0</v>
      </c>
      <c r="DF21" s="23">
        <v>0</v>
      </c>
      <c r="DG21" s="23">
        <v>0</v>
      </c>
      <c r="DH21" s="23">
        <v>0</v>
      </c>
      <c r="DI21" s="23">
        <v>0</v>
      </c>
      <c r="DJ21" s="23">
        <v>0</v>
      </c>
      <c r="DK21" s="23">
        <v>0</v>
      </c>
      <c r="DL21" s="23">
        <v>0</v>
      </c>
      <c r="DM21" s="23">
        <v>0</v>
      </c>
      <c r="DN21" s="23">
        <v>0</v>
      </c>
      <c r="DO21" s="23">
        <v>0</v>
      </c>
      <c r="DP21" s="23">
        <v>0</v>
      </c>
      <c r="DQ21" s="23">
        <v>0</v>
      </c>
      <c r="DR21" s="23">
        <v>0</v>
      </c>
      <c r="DS21" s="23">
        <v>0</v>
      </c>
      <c r="DT21" s="23">
        <v>0</v>
      </c>
      <c r="DU21" s="23">
        <v>0</v>
      </c>
      <c r="DV21" s="23">
        <v>-1.125</v>
      </c>
      <c r="DW21" s="23">
        <v>0</v>
      </c>
      <c r="DX21" s="23">
        <v>0</v>
      </c>
      <c r="DY21" s="23">
        <v>0</v>
      </c>
      <c r="DZ21" s="23">
        <v>0</v>
      </c>
      <c r="EA21" s="23">
        <v>0</v>
      </c>
      <c r="EB21" s="23">
        <v>0</v>
      </c>
      <c r="EC21" s="23">
        <v>0</v>
      </c>
      <c r="ED21" s="23">
        <v>0</v>
      </c>
      <c r="EE21" s="23">
        <v>0</v>
      </c>
      <c r="EF21" s="23">
        <v>0</v>
      </c>
      <c r="EG21" s="23">
        <v>0</v>
      </c>
      <c r="EH21" s="23">
        <v>-6.875</v>
      </c>
      <c r="EI21" s="23" cm="1">
        <f t="array" ref="EI21">VLOOKUP(A21,'Opponent List'!$A1:$P137,16,FALSE)</f>
        <v>2.4112762724178</v>
      </c>
      <c r="EJ21" s="23">
        <v>-4.4638143553882</v>
      </c>
    </row>
    <row r="22" ht="13.55" customHeight="1">
      <c r="A22" t="s" s="7">
        <v>58</v>
      </c>
      <c r="B22" s="22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0.875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0.875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1.125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0.875</v>
      </c>
      <c r="BN22" s="23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0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23">
        <v>0</v>
      </c>
      <c r="BZ22" s="23">
        <v>0</v>
      </c>
      <c r="CA22" s="23">
        <v>0</v>
      </c>
      <c r="CB22" s="23">
        <v>0</v>
      </c>
      <c r="CC22" s="23">
        <v>0</v>
      </c>
      <c r="CD22" s="23">
        <v>0</v>
      </c>
      <c r="CE22" s="23">
        <v>0</v>
      </c>
      <c r="CF22" s="23">
        <v>0</v>
      </c>
      <c r="CG22" s="23">
        <v>0</v>
      </c>
      <c r="CH22" s="23">
        <v>0</v>
      </c>
      <c r="CI22" s="23">
        <v>0</v>
      </c>
      <c r="CJ22" s="23">
        <v>0</v>
      </c>
      <c r="CK22" s="23">
        <v>0</v>
      </c>
      <c r="CL22" s="23">
        <v>0</v>
      </c>
      <c r="CM22" s="23">
        <v>0</v>
      </c>
      <c r="CN22" s="23">
        <v>0</v>
      </c>
      <c r="CO22" s="23">
        <v>1.125</v>
      </c>
      <c r="CP22" s="23">
        <v>0</v>
      </c>
      <c r="CQ22" s="23">
        <v>0</v>
      </c>
      <c r="CR22" s="23">
        <v>0</v>
      </c>
      <c r="CS22" s="23">
        <v>0</v>
      </c>
      <c r="CT22" s="23">
        <v>0</v>
      </c>
      <c r="CU22" s="23">
        <v>0</v>
      </c>
      <c r="CV22" s="23">
        <v>0</v>
      </c>
      <c r="CW22" s="23">
        <v>0</v>
      </c>
      <c r="CX22" s="23">
        <v>0</v>
      </c>
      <c r="CY22" s="23">
        <v>0</v>
      </c>
      <c r="CZ22" s="23">
        <v>0</v>
      </c>
      <c r="DA22" s="23">
        <v>0</v>
      </c>
      <c r="DB22" s="23">
        <v>0</v>
      </c>
      <c r="DC22" s="23">
        <v>0</v>
      </c>
      <c r="DD22" s="23">
        <v>0</v>
      </c>
      <c r="DE22" s="23">
        <v>0</v>
      </c>
      <c r="DF22" s="23">
        <v>0</v>
      </c>
      <c r="DG22" s="23">
        <v>0</v>
      </c>
      <c r="DH22" s="23">
        <v>0</v>
      </c>
      <c r="DI22" s="23">
        <v>0</v>
      </c>
      <c r="DJ22" s="23">
        <v>0</v>
      </c>
      <c r="DK22" s="23">
        <v>0</v>
      </c>
      <c r="DL22" s="23">
        <v>0</v>
      </c>
      <c r="DM22" s="23">
        <v>0</v>
      </c>
      <c r="DN22" s="23">
        <v>0</v>
      </c>
      <c r="DO22" s="23">
        <v>0</v>
      </c>
      <c r="DP22" s="23">
        <v>0</v>
      </c>
      <c r="DQ22" s="23">
        <v>0</v>
      </c>
      <c r="DR22" s="23">
        <v>0</v>
      </c>
      <c r="DS22" s="23">
        <v>0</v>
      </c>
      <c r="DT22" s="23">
        <v>0</v>
      </c>
      <c r="DU22" s="23">
        <v>0</v>
      </c>
      <c r="DV22" s="23">
        <v>0</v>
      </c>
      <c r="DW22" s="23">
        <v>0</v>
      </c>
      <c r="DX22" s="23">
        <v>0</v>
      </c>
      <c r="DY22" s="23">
        <v>0</v>
      </c>
      <c r="DZ22" s="23">
        <v>0</v>
      </c>
      <c r="EA22" s="23">
        <v>0</v>
      </c>
      <c r="EB22" s="23">
        <v>0</v>
      </c>
      <c r="EC22" s="23">
        <v>0</v>
      </c>
      <c r="ED22" s="23">
        <v>0</v>
      </c>
      <c r="EE22" s="23">
        <v>0</v>
      </c>
      <c r="EF22" s="23">
        <v>0</v>
      </c>
      <c r="EG22" s="23">
        <v>0</v>
      </c>
      <c r="EH22" s="23">
        <v>4.875</v>
      </c>
      <c r="EI22" s="23" cm="1">
        <f t="array" ref="EI22">VLOOKUP(A22,'Opponent List'!$A1:$P137,16,FALSE)</f>
        <v>-3.41515908106834</v>
      </c>
      <c r="EJ22" s="23">
        <v>1.46004862122864</v>
      </c>
    </row>
    <row r="23" ht="13.55" customHeight="1">
      <c r="A23" t="s" s="7">
        <v>43</v>
      </c>
      <c r="B23" s="22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0.875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-1.125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-1.125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3">
        <v>0</v>
      </c>
      <c r="CA23" s="23">
        <v>0</v>
      </c>
      <c r="CB23" s="23">
        <v>0</v>
      </c>
      <c r="CC23" s="23">
        <v>0</v>
      </c>
      <c r="CD23" s="23">
        <v>0</v>
      </c>
      <c r="CE23" s="23">
        <v>0</v>
      </c>
      <c r="CF23" s="23">
        <v>0</v>
      </c>
      <c r="CG23" s="23">
        <v>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23">
        <v>0</v>
      </c>
      <c r="CO23" s="23">
        <v>0</v>
      </c>
      <c r="CP23" s="23">
        <v>0</v>
      </c>
      <c r="CQ23" s="23">
        <v>0</v>
      </c>
      <c r="CR23" s="23">
        <v>0</v>
      </c>
      <c r="CS23" s="23">
        <v>0</v>
      </c>
      <c r="CT23" s="23">
        <v>0</v>
      </c>
      <c r="CU23" s="23">
        <v>0</v>
      </c>
      <c r="CV23" s="23">
        <v>0</v>
      </c>
      <c r="CW23" s="23">
        <v>0</v>
      </c>
      <c r="CX23" s="23">
        <v>0</v>
      </c>
      <c r="CY23" s="23">
        <v>1.125</v>
      </c>
      <c r="CZ23" s="23">
        <v>0</v>
      </c>
      <c r="DA23" s="23">
        <v>0</v>
      </c>
      <c r="DB23" s="23">
        <v>0</v>
      </c>
      <c r="DC23" s="23">
        <v>0</v>
      </c>
      <c r="DD23" s="23">
        <v>0</v>
      </c>
      <c r="DE23" s="23">
        <v>0</v>
      </c>
      <c r="DF23" s="23">
        <v>0</v>
      </c>
      <c r="DG23" s="23">
        <v>0</v>
      </c>
      <c r="DH23" s="23">
        <v>0</v>
      </c>
      <c r="DI23" s="23">
        <v>0</v>
      </c>
      <c r="DJ23" s="23">
        <v>0</v>
      </c>
      <c r="DK23" s="23">
        <v>0</v>
      </c>
      <c r="DL23" s="23">
        <v>0</v>
      </c>
      <c r="DM23" s="23">
        <v>0</v>
      </c>
      <c r="DN23" s="23">
        <v>0</v>
      </c>
      <c r="DO23" s="23">
        <v>0</v>
      </c>
      <c r="DP23" s="23">
        <v>0</v>
      </c>
      <c r="DQ23" s="23">
        <v>0</v>
      </c>
      <c r="DR23" s="23">
        <v>0</v>
      </c>
      <c r="DS23" s="23">
        <v>0</v>
      </c>
      <c r="DT23" s="23">
        <v>0</v>
      </c>
      <c r="DU23" s="23">
        <v>0</v>
      </c>
      <c r="DV23" s="23">
        <v>0</v>
      </c>
      <c r="DW23" s="23">
        <v>0</v>
      </c>
      <c r="DX23" s="23">
        <v>0</v>
      </c>
      <c r="DY23" s="23">
        <v>0</v>
      </c>
      <c r="DZ23" s="23">
        <v>0</v>
      </c>
      <c r="EA23" s="23">
        <v>0</v>
      </c>
      <c r="EB23" s="23">
        <v>0</v>
      </c>
      <c r="EC23" s="23">
        <v>0</v>
      </c>
      <c r="ED23" s="23">
        <v>0.875</v>
      </c>
      <c r="EE23" s="23">
        <v>0</v>
      </c>
      <c r="EF23" s="23">
        <v>0</v>
      </c>
      <c r="EG23" s="23">
        <v>0</v>
      </c>
      <c r="EH23" s="23">
        <v>0.625</v>
      </c>
      <c r="EI23" s="23" cm="1">
        <f t="array" ref="EI23">VLOOKUP(A23,'Opponent List'!$A1:$P137,16,FALSE)</f>
        <v>2.00348215899796</v>
      </c>
      <c r="EJ23" s="23">
        <v>2.62817334380147</v>
      </c>
    </row>
    <row r="24" ht="13.55" customHeight="1">
      <c r="A24" t="s" s="7">
        <v>127</v>
      </c>
      <c r="B24" s="22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-0.875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-1.125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-0.875</v>
      </c>
      <c r="BO24" s="23">
        <v>0</v>
      </c>
      <c r="BP24" s="23">
        <v>0</v>
      </c>
      <c r="BQ24" s="23">
        <v>0</v>
      </c>
      <c r="BR24" s="23">
        <v>0</v>
      </c>
      <c r="BS24" s="23">
        <v>0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23">
        <v>0</v>
      </c>
      <c r="BZ24" s="23">
        <v>0</v>
      </c>
      <c r="CA24" s="23">
        <v>0</v>
      </c>
      <c r="CB24" s="23">
        <v>0</v>
      </c>
      <c r="CC24" s="23">
        <v>0</v>
      </c>
      <c r="CD24" s="23">
        <v>0</v>
      </c>
      <c r="CE24" s="23">
        <v>0</v>
      </c>
      <c r="CF24" s="23">
        <v>0</v>
      </c>
      <c r="CG24" s="23">
        <v>0</v>
      </c>
      <c r="CH24" s="23">
        <v>0</v>
      </c>
      <c r="CI24" s="23">
        <v>0</v>
      </c>
      <c r="CJ24" s="23">
        <v>0</v>
      </c>
      <c r="CK24" s="23">
        <v>0</v>
      </c>
      <c r="CL24" s="23">
        <v>0</v>
      </c>
      <c r="CM24" s="23">
        <v>0</v>
      </c>
      <c r="CN24" s="23">
        <v>0</v>
      </c>
      <c r="CO24" s="23">
        <v>0</v>
      </c>
      <c r="CP24" s="23">
        <v>0</v>
      </c>
      <c r="CQ24" s="23">
        <v>-0.875</v>
      </c>
      <c r="CR24" s="23">
        <v>0</v>
      </c>
      <c r="CS24" s="23">
        <v>0</v>
      </c>
      <c r="CT24" s="23">
        <v>0</v>
      </c>
      <c r="CU24" s="23">
        <v>0</v>
      </c>
      <c r="CV24" s="23">
        <v>0</v>
      </c>
      <c r="CW24" s="23">
        <v>0</v>
      </c>
      <c r="CX24" s="23">
        <v>0</v>
      </c>
      <c r="CY24" s="23">
        <v>0</v>
      </c>
      <c r="CZ24" s="23">
        <v>0</v>
      </c>
      <c r="DA24" s="23">
        <v>1.125</v>
      </c>
      <c r="DB24" s="23">
        <v>0</v>
      </c>
      <c r="DC24" s="23">
        <v>0</v>
      </c>
      <c r="DD24" s="23">
        <v>0</v>
      </c>
      <c r="DE24" s="23">
        <v>0</v>
      </c>
      <c r="DF24" s="23">
        <v>0</v>
      </c>
      <c r="DG24" s="23">
        <v>0</v>
      </c>
      <c r="DH24" s="23">
        <v>0</v>
      </c>
      <c r="DI24" s="23">
        <v>0</v>
      </c>
      <c r="DJ24" s="23">
        <v>0</v>
      </c>
      <c r="DK24" s="23">
        <v>0.875</v>
      </c>
      <c r="DL24" s="23">
        <v>0</v>
      </c>
      <c r="DM24" s="23">
        <v>0</v>
      </c>
      <c r="DN24" s="23">
        <v>0</v>
      </c>
      <c r="DO24" s="23">
        <v>0</v>
      </c>
      <c r="DP24" s="23">
        <v>0</v>
      </c>
      <c r="DQ24" s="23">
        <v>0</v>
      </c>
      <c r="DR24" s="23">
        <v>0</v>
      </c>
      <c r="DS24" s="23">
        <v>0</v>
      </c>
      <c r="DT24" s="23">
        <v>0</v>
      </c>
      <c r="DU24" s="23">
        <v>0</v>
      </c>
      <c r="DV24" s="23">
        <v>0</v>
      </c>
      <c r="DW24" s="23">
        <v>-1.125</v>
      </c>
      <c r="DX24" s="23">
        <v>0</v>
      </c>
      <c r="DY24" s="23">
        <v>0</v>
      </c>
      <c r="DZ24" s="23">
        <v>0</v>
      </c>
      <c r="EA24" s="23">
        <v>0</v>
      </c>
      <c r="EB24" s="23">
        <v>0</v>
      </c>
      <c r="EC24" s="23">
        <v>0</v>
      </c>
      <c r="ED24" s="23">
        <v>0</v>
      </c>
      <c r="EE24" s="23">
        <v>0</v>
      </c>
      <c r="EF24" s="23">
        <v>0</v>
      </c>
      <c r="EG24" s="23">
        <v>0</v>
      </c>
      <c r="EH24" s="23">
        <v>-2.875</v>
      </c>
      <c r="EI24" s="23" cm="1">
        <f t="array" ref="EI24">VLOOKUP(A24,'Opponent List'!$A1:$P137,16,FALSE)</f>
        <v>-1.59528200580792</v>
      </c>
      <c r="EJ24" s="23">
        <v>-4.46999207445372</v>
      </c>
    </row>
    <row r="25" ht="13.55" customHeight="1">
      <c r="A25" t="s" s="7">
        <v>123</v>
      </c>
      <c r="B25" s="22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-0.875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1.125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-1.125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-0.875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-1.125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3">
        <v>-0.875</v>
      </c>
      <c r="BX25" s="23">
        <v>0</v>
      </c>
      <c r="BY25" s="23">
        <v>0</v>
      </c>
      <c r="BZ25" s="23">
        <v>0</v>
      </c>
      <c r="CA25" s="23">
        <v>0</v>
      </c>
      <c r="CB25" s="23">
        <v>0</v>
      </c>
      <c r="CC25" s="23">
        <v>0</v>
      </c>
      <c r="CD25" s="23">
        <v>0</v>
      </c>
      <c r="CE25" s="23">
        <v>0</v>
      </c>
      <c r="CF25" s="23">
        <v>0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0</v>
      </c>
      <c r="CM25" s="23">
        <v>0</v>
      </c>
      <c r="CN25" s="23">
        <v>0</v>
      </c>
      <c r="CO25" s="23">
        <v>0</v>
      </c>
      <c r="CP25" s="23">
        <v>0</v>
      </c>
      <c r="CQ25" s="23">
        <v>0</v>
      </c>
      <c r="CR25" s="23">
        <v>0</v>
      </c>
      <c r="CS25" s="23">
        <v>0</v>
      </c>
      <c r="CT25" s="23">
        <v>0</v>
      </c>
      <c r="CU25" s="23">
        <v>0</v>
      </c>
      <c r="CV25" s="23">
        <v>0</v>
      </c>
      <c r="CW25" s="23">
        <v>0</v>
      </c>
      <c r="CX25" s="23">
        <v>0</v>
      </c>
      <c r="CY25" s="23">
        <v>0</v>
      </c>
      <c r="CZ25" s="23">
        <v>0</v>
      </c>
      <c r="DA25" s="23">
        <v>0</v>
      </c>
      <c r="DB25" s="23">
        <v>0</v>
      </c>
      <c r="DC25" s="23">
        <v>0</v>
      </c>
      <c r="DD25" s="23">
        <v>0</v>
      </c>
      <c r="DE25" s="23">
        <v>0</v>
      </c>
      <c r="DF25" s="23">
        <v>0</v>
      </c>
      <c r="DG25" s="23">
        <v>0</v>
      </c>
      <c r="DH25" s="23">
        <v>0</v>
      </c>
      <c r="DI25" s="23">
        <v>0</v>
      </c>
      <c r="DJ25" s="23">
        <v>0</v>
      </c>
      <c r="DK25" s="23">
        <v>0</v>
      </c>
      <c r="DL25" s="23">
        <v>0</v>
      </c>
      <c r="DM25" s="23">
        <v>0</v>
      </c>
      <c r="DN25" s="23">
        <v>0</v>
      </c>
      <c r="DO25" s="23">
        <v>0</v>
      </c>
      <c r="DP25" s="23">
        <v>0</v>
      </c>
      <c r="DQ25" s="23">
        <v>0</v>
      </c>
      <c r="DR25" s="23">
        <v>0</v>
      </c>
      <c r="DS25" s="23">
        <v>0</v>
      </c>
      <c r="DT25" s="23">
        <v>0</v>
      </c>
      <c r="DU25" s="23">
        <v>0</v>
      </c>
      <c r="DV25" s="23">
        <v>0</v>
      </c>
      <c r="DW25" s="23">
        <v>0</v>
      </c>
      <c r="DX25" s="23">
        <v>0</v>
      </c>
      <c r="DY25" s="23">
        <v>0</v>
      </c>
      <c r="DZ25" s="23">
        <v>0</v>
      </c>
      <c r="EA25" s="23">
        <v>0</v>
      </c>
      <c r="EB25" s="23">
        <v>0</v>
      </c>
      <c r="EC25" s="23">
        <v>0</v>
      </c>
      <c r="ED25" s="23">
        <v>-1.125</v>
      </c>
      <c r="EE25" s="23">
        <v>0</v>
      </c>
      <c r="EF25" s="23">
        <v>0</v>
      </c>
      <c r="EG25" s="23">
        <v>0</v>
      </c>
      <c r="EH25" s="23">
        <v>-4.875</v>
      </c>
      <c r="EI25" s="23" cm="1">
        <f t="array" ref="EI25">VLOOKUP(A25,'Opponent List'!$A1:$P137,16,FALSE)</f>
        <v>0.680320597709151</v>
      </c>
      <c r="EJ25" s="23">
        <v>-4.19472030187331</v>
      </c>
    </row>
    <row r="26" ht="13.55" customHeight="1">
      <c r="A26" t="s" s="7">
        <v>95</v>
      </c>
      <c r="B26" s="22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1.125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-1.125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-1.125</v>
      </c>
      <c r="BH26" s="23">
        <v>0</v>
      </c>
      <c r="BI26" s="23">
        <v>0</v>
      </c>
      <c r="BJ26" s="23">
        <v>0</v>
      </c>
      <c r="BK26" s="23">
        <v>0.875</v>
      </c>
      <c r="BL26" s="23">
        <v>0</v>
      </c>
      <c r="BM26" s="23">
        <v>0</v>
      </c>
      <c r="BN26" s="23">
        <v>0</v>
      </c>
      <c r="BO26" s="23">
        <v>0</v>
      </c>
      <c r="BP26" s="23">
        <v>0</v>
      </c>
      <c r="BQ26" s="23">
        <v>0</v>
      </c>
      <c r="BR26" s="23">
        <v>0</v>
      </c>
      <c r="BS26" s="23">
        <v>0</v>
      </c>
      <c r="BT26" s="23">
        <v>-1.125</v>
      </c>
      <c r="BU26" s="23">
        <v>0</v>
      </c>
      <c r="BV26" s="23">
        <v>0</v>
      </c>
      <c r="BW26" s="23">
        <v>0</v>
      </c>
      <c r="BX26" s="23">
        <v>0</v>
      </c>
      <c r="BY26" s="23">
        <v>0</v>
      </c>
      <c r="BZ26" s="23">
        <v>-0.875</v>
      </c>
      <c r="CA26" s="23">
        <v>0</v>
      </c>
      <c r="CB26" s="23">
        <v>0</v>
      </c>
      <c r="CC26" s="23">
        <v>0</v>
      </c>
      <c r="CD26" s="23">
        <v>0</v>
      </c>
      <c r="CE26" s="23">
        <v>0</v>
      </c>
      <c r="CF26" s="23">
        <v>0</v>
      </c>
      <c r="CG26" s="23">
        <v>0</v>
      </c>
      <c r="CH26" s="23">
        <v>0</v>
      </c>
      <c r="CI26" s="23">
        <v>0</v>
      </c>
      <c r="CJ26" s="23">
        <v>0</v>
      </c>
      <c r="CK26" s="23">
        <v>0</v>
      </c>
      <c r="CL26" s="23">
        <v>0</v>
      </c>
      <c r="CM26" s="23">
        <v>0</v>
      </c>
      <c r="CN26" s="23">
        <v>0</v>
      </c>
      <c r="CO26" s="23">
        <v>0</v>
      </c>
      <c r="CP26" s="23">
        <v>0</v>
      </c>
      <c r="CQ26" s="23">
        <v>0</v>
      </c>
      <c r="CR26" s="23">
        <v>0</v>
      </c>
      <c r="CS26" s="23">
        <v>0</v>
      </c>
      <c r="CT26" s="23">
        <v>0</v>
      </c>
      <c r="CU26" s="23">
        <v>0</v>
      </c>
      <c r="CV26" s="23">
        <v>0</v>
      </c>
      <c r="CW26" s="23">
        <v>0</v>
      </c>
      <c r="CX26" s="23">
        <v>0</v>
      </c>
      <c r="CY26" s="23">
        <v>0</v>
      </c>
      <c r="CZ26" s="23">
        <v>0</v>
      </c>
      <c r="DA26" s="23">
        <v>0</v>
      </c>
      <c r="DB26" s="23">
        <v>0</v>
      </c>
      <c r="DC26" s="23">
        <v>-0.875</v>
      </c>
      <c r="DD26" s="23">
        <v>0</v>
      </c>
      <c r="DE26" s="23">
        <v>0</v>
      </c>
      <c r="DF26" s="23">
        <v>0</v>
      </c>
      <c r="DG26" s="23">
        <v>0</v>
      </c>
      <c r="DH26" s="23">
        <v>0</v>
      </c>
      <c r="DI26" s="23">
        <v>0</v>
      </c>
      <c r="DJ26" s="23">
        <v>0</v>
      </c>
      <c r="DK26" s="23">
        <v>0</v>
      </c>
      <c r="DL26" s="23">
        <v>0</v>
      </c>
      <c r="DM26" s="23">
        <v>0</v>
      </c>
      <c r="DN26" s="23">
        <v>0</v>
      </c>
      <c r="DO26" s="23">
        <v>0</v>
      </c>
      <c r="DP26" s="23">
        <v>0</v>
      </c>
      <c r="DQ26" s="23">
        <v>0</v>
      </c>
      <c r="DR26" s="23">
        <v>0</v>
      </c>
      <c r="DS26" s="23">
        <v>0</v>
      </c>
      <c r="DT26" s="23">
        <v>0</v>
      </c>
      <c r="DU26" s="23">
        <v>0</v>
      </c>
      <c r="DV26" s="23">
        <v>0</v>
      </c>
      <c r="DW26" s="23">
        <v>0</v>
      </c>
      <c r="DX26" s="23">
        <v>0</v>
      </c>
      <c r="DY26" s="23">
        <v>0</v>
      </c>
      <c r="DZ26" s="23">
        <v>0</v>
      </c>
      <c r="EA26" s="23">
        <v>0</v>
      </c>
      <c r="EB26" s="23">
        <v>0</v>
      </c>
      <c r="EC26" s="23">
        <v>0</v>
      </c>
      <c r="ED26" s="23">
        <v>0</v>
      </c>
      <c r="EE26" s="23">
        <v>0</v>
      </c>
      <c r="EF26" s="23">
        <v>0</v>
      </c>
      <c r="EG26" s="23">
        <v>0</v>
      </c>
      <c r="EH26" s="23">
        <v>-3.125</v>
      </c>
      <c r="EI26" s="23" cm="1">
        <f t="array" ref="EI26">VLOOKUP(A26,'Opponent List'!$A1:$P137,16,FALSE)</f>
        <v>1.20207770632846</v>
      </c>
      <c r="EJ26" s="23">
        <v>-1.92319740027882</v>
      </c>
    </row>
    <row r="27" ht="13.55" customHeight="1">
      <c r="A27" t="s" s="7">
        <v>116</v>
      </c>
      <c r="B27" s="22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0.875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-0.875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-0.875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-0.875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v>0</v>
      </c>
      <c r="BQ27" s="23">
        <v>0</v>
      </c>
      <c r="BR27" s="23">
        <v>0</v>
      </c>
      <c r="BS27" s="23">
        <v>0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23">
        <v>0</v>
      </c>
      <c r="BZ27" s="23">
        <v>0</v>
      </c>
      <c r="CA27" s="23">
        <v>-1.125</v>
      </c>
      <c r="CB27" s="23">
        <v>0</v>
      </c>
      <c r="CC27" s="23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0</v>
      </c>
      <c r="CR27" s="23">
        <v>0</v>
      </c>
      <c r="CS27" s="23">
        <v>0</v>
      </c>
      <c r="CT27" s="23">
        <v>0</v>
      </c>
      <c r="CU27" s="23">
        <v>0</v>
      </c>
      <c r="CV27" s="23">
        <v>0</v>
      </c>
      <c r="CW27" s="23">
        <v>0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0</v>
      </c>
      <c r="DD27" s="23">
        <v>0</v>
      </c>
      <c r="DE27" s="23">
        <v>-1.125</v>
      </c>
      <c r="DF27" s="23">
        <v>0</v>
      </c>
      <c r="DG27" s="23">
        <v>0</v>
      </c>
      <c r="DH27" s="23">
        <v>0</v>
      </c>
      <c r="DI27" s="23">
        <v>0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0</v>
      </c>
      <c r="DP27" s="23">
        <v>0.875</v>
      </c>
      <c r="DQ27" s="23">
        <v>0</v>
      </c>
      <c r="DR27" s="23">
        <v>0</v>
      </c>
      <c r="DS27" s="23">
        <v>0</v>
      </c>
      <c r="DT27" s="23">
        <v>0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DZ27" s="23">
        <v>0</v>
      </c>
      <c r="EA27" s="23">
        <v>0</v>
      </c>
      <c r="EB27" s="23">
        <v>0</v>
      </c>
      <c r="EC27" s="23">
        <v>0</v>
      </c>
      <c r="ED27" s="23">
        <v>0</v>
      </c>
      <c r="EE27" s="23">
        <v>0</v>
      </c>
      <c r="EF27" s="23">
        <v>0</v>
      </c>
      <c r="EG27" s="23">
        <v>0</v>
      </c>
      <c r="EH27" s="23">
        <v>-3.125</v>
      </c>
      <c r="EI27" s="23" cm="1">
        <f t="array" ref="EI27">VLOOKUP(A27,'Opponent List'!$A1:$P137,16,FALSE)</f>
        <v>-0.640439287993358</v>
      </c>
      <c r="EJ27" s="23">
        <v>-3.76562451732892</v>
      </c>
    </row>
    <row r="28" ht="13.55" customHeight="1">
      <c r="A28" t="s" s="7">
        <v>38</v>
      </c>
      <c r="B28" s="22">
        <v>0</v>
      </c>
      <c r="C28" s="23">
        <v>0</v>
      </c>
      <c r="D28" s="23">
        <v>0</v>
      </c>
      <c r="E28" s="23">
        <v>-1.125</v>
      </c>
      <c r="F28" s="23">
        <v>0</v>
      </c>
      <c r="G28" s="23">
        <v>0</v>
      </c>
      <c r="H28" s="23">
        <v>0.875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0.875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0.875</v>
      </c>
      <c r="AV28" s="23">
        <v>0</v>
      </c>
      <c r="AW28" s="23">
        <v>0</v>
      </c>
      <c r="AX28" s="23">
        <v>0</v>
      </c>
      <c r="AY28" s="23">
        <v>0</v>
      </c>
      <c r="AZ28" s="23">
        <v>0</v>
      </c>
      <c r="BA28" s="23">
        <v>1.125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2.25</v>
      </c>
      <c r="BO28" s="23">
        <v>0</v>
      </c>
      <c r="BP28" s="23">
        <v>0</v>
      </c>
      <c r="BQ28" s="23">
        <v>0</v>
      </c>
      <c r="BR28" s="23">
        <v>0</v>
      </c>
      <c r="BS28" s="23">
        <v>0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23">
        <v>0</v>
      </c>
      <c r="BZ28" s="23">
        <v>0</v>
      </c>
      <c r="CA28" s="23">
        <v>0</v>
      </c>
      <c r="CB28" s="23">
        <v>0</v>
      </c>
      <c r="CC28" s="23">
        <v>0</v>
      </c>
      <c r="CD28" s="23">
        <v>0</v>
      </c>
      <c r="CE28" s="23">
        <v>0</v>
      </c>
      <c r="CF28" s="23">
        <v>0</v>
      </c>
      <c r="CG28" s="23">
        <v>0</v>
      </c>
      <c r="CH28" s="23">
        <v>0</v>
      </c>
      <c r="CI28" s="23">
        <v>0</v>
      </c>
      <c r="CJ28" s="23">
        <v>0</v>
      </c>
      <c r="CK28" s="23">
        <v>0</v>
      </c>
      <c r="CL28" s="23">
        <v>0</v>
      </c>
      <c r="CM28" s="23">
        <v>0</v>
      </c>
      <c r="CN28" s="23">
        <v>0</v>
      </c>
      <c r="CO28" s="23">
        <v>0</v>
      </c>
      <c r="CP28" s="23">
        <v>0</v>
      </c>
      <c r="CQ28" s="23">
        <v>0</v>
      </c>
      <c r="CR28" s="23">
        <v>0</v>
      </c>
      <c r="CS28" s="23">
        <v>0</v>
      </c>
      <c r="CT28" s="23">
        <v>0</v>
      </c>
      <c r="CU28" s="23">
        <v>0</v>
      </c>
      <c r="CV28" s="23">
        <v>0</v>
      </c>
      <c r="CW28" s="23">
        <v>0</v>
      </c>
      <c r="CX28" s="23">
        <v>0</v>
      </c>
      <c r="CY28" s="23">
        <v>0</v>
      </c>
      <c r="CZ28" s="23">
        <v>0</v>
      </c>
      <c r="DA28" s="23">
        <v>0</v>
      </c>
      <c r="DB28" s="23">
        <v>0</v>
      </c>
      <c r="DC28" s="23">
        <v>0</v>
      </c>
      <c r="DD28" s="23">
        <v>0</v>
      </c>
      <c r="DE28" s="23">
        <v>0</v>
      </c>
      <c r="DF28" s="23">
        <v>0</v>
      </c>
      <c r="DG28" s="23">
        <v>0</v>
      </c>
      <c r="DH28" s="23">
        <v>0</v>
      </c>
      <c r="DI28" s="23">
        <v>0</v>
      </c>
      <c r="DJ28" s="23">
        <v>0</v>
      </c>
      <c r="DK28" s="23">
        <v>0</v>
      </c>
      <c r="DL28" s="23">
        <v>0</v>
      </c>
      <c r="DM28" s="23">
        <v>0</v>
      </c>
      <c r="DN28" s="23">
        <v>0</v>
      </c>
      <c r="DO28" s="23">
        <v>0</v>
      </c>
      <c r="DP28" s="23">
        <v>0</v>
      </c>
      <c r="DQ28" s="23">
        <v>0</v>
      </c>
      <c r="DR28" s="23">
        <v>0</v>
      </c>
      <c r="DS28" s="23">
        <v>0</v>
      </c>
      <c r="DT28" s="23">
        <v>0</v>
      </c>
      <c r="DU28" s="23">
        <v>0</v>
      </c>
      <c r="DV28" s="23">
        <v>0</v>
      </c>
      <c r="DW28" s="23">
        <v>0</v>
      </c>
      <c r="DX28" s="23">
        <v>0</v>
      </c>
      <c r="DY28" s="23">
        <v>0</v>
      </c>
      <c r="DZ28" s="23">
        <v>0</v>
      </c>
      <c r="EA28" s="23">
        <v>0</v>
      </c>
      <c r="EB28" s="23">
        <v>0</v>
      </c>
      <c r="EC28" s="23">
        <v>0</v>
      </c>
      <c r="ED28" s="23">
        <v>0</v>
      </c>
      <c r="EE28" s="23">
        <v>0</v>
      </c>
      <c r="EF28" s="23">
        <v>0</v>
      </c>
      <c r="EG28" s="23">
        <v>0</v>
      </c>
      <c r="EH28" s="23">
        <v>4.875</v>
      </c>
      <c r="EI28" s="23" cm="1">
        <f t="array" ref="EI28">VLOOKUP(A28,'Opponent List'!$A1:$P137,16,FALSE)</f>
        <v>-1.68066769048221</v>
      </c>
      <c r="EJ28" s="23">
        <v>3.19465323054226</v>
      </c>
    </row>
    <row r="29" ht="13.55" customHeight="1">
      <c r="A29" t="s" s="7">
        <v>68</v>
      </c>
      <c r="B29" s="22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1.125</v>
      </c>
      <c r="R29" s="23">
        <v>0</v>
      </c>
      <c r="S29" s="23">
        <v>1.125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-1.125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0.875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  <c r="BZ29" s="23">
        <v>0</v>
      </c>
      <c r="CA29" s="23">
        <v>0</v>
      </c>
      <c r="CB29" s="23">
        <v>0</v>
      </c>
      <c r="CC29" s="23">
        <v>0</v>
      </c>
      <c r="CD29" s="23">
        <v>-0.875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0</v>
      </c>
      <c r="CR29" s="23">
        <v>0</v>
      </c>
      <c r="CS29" s="23">
        <v>0</v>
      </c>
      <c r="CT29" s="23">
        <v>0</v>
      </c>
      <c r="CU29" s="23">
        <v>0</v>
      </c>
      <c r="CV29" s="23">
        <v>0</v>
      </c>
      <c r="CW29" s="23">
        <v>0</v>
      </c>
      <c r="CX29" s="23">
        <v>0.875</v>
      </c>
      <c r="CY29" s="23">
        <v>0</v>
      </c>
      <c r="CZ29" s="23">
        <v>0</v>
      </c>
      <c r="DA29" s="23">
        <v>0</v>
      </c>
      <c r="DB29" s="23">
        <v>0</v>
      </c>
      <c r="DC29" s="23">
        <v>0</v>
      </c>
      <c r="DD29" s="23">
        <v>0</v>
      </c>
      <c r="DE29" s="23">
        <v>0</v>
      </c>
      <c r="DF29" s="23">
        <v>0</v>
      </c>
      <c r="DG29" s="23">
        <v>0</v>
      </c>
      <c r="DH29" s="23">
        <v>0</v>
      </c>
      <c r="DI29" s="23">
        <v>-0.875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0</v>
      </c>
      <c r="DP29" s="23">
        <v>0</v>
      </c>
      <c r="DQ29" s="23">
        <v>0</v>
      </c>
      <c r="DR29" s="23">
        <v>0</v>
      </c>
      <c r="DS29" s="23">
        <v>0</v>
      </c>
      <c r="DT29" s="23">
        <v>0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0</v>
      </c>
      <c r="EB29" s="23">
        <v>0</v>
      </c>
      <c r="EC29" s="23">
        <v>0</v>
      </c>
      <c r="ED29" s="23">
        <v>0</v>
      </c>
      <c r="EE29" s="23">
        <v>0</v>
      </c>
      <c r="EF29" s="23">
        <v>0</v>
      </c>
      <c r="EG29" s="23">
        <v>0</v>
      </c>
      <c r="EH29" s="23">
        <v>1.125</v>
      </c>
      <c r="EI29" s="23" cm="1">
        <f t="array" ref="EI29">VLOOKUP(A29,'Opponent List'!$A1:$P137,16,FALSE)</f>
        <v>-0.876346568822236</v>
      </c>
      <c r="EJ29" s="23">
        <v>0.248638585007207</v>
      </c>
    </row>
    <row r="30" ht="13.55" customHeight="1">
      <c r="A30" t="s" s="7">
        <v>92</v>
      </c>
      <c r="B30" s="22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-0.875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-0.875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1.125</v>
      </c>
      <c r="AP30" s="23">
        <v>0</v>
      </c>
      <c r="AQ30" s="23">
        <v>-0.875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-1.125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-1.125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23">
        <v>0</v>
      </c>
      <c r="BZ30" s="23">
        <v>0</v>
      </c>
      <c r="CA30" s="23">
        <v>0</v>
      </c>
      <c r="CB30" s="23">
        <v>0</v>
      </c>
      <c r="CC30" s="23">
        <v>0</v>
      </c>
      <c r="CD30" s="23">
        <v>0</v>
      </c>
      <c r="CE30" s="23">
        <v>0.875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0</v>
      </c>
      <c r="CR30" s="23">
        <v>0</v>
      </c>
      <c r="CS30" s="23">
        <v>0</v>
      </c>
      <c r="CT30" s="23">
        <v>0</v>
      </c>
      <c r="CU30" s="23">
        <v>0</v>
      </c>
      <c r="CV30" s="23">
        <v>0</v>
      </c>
      <c r="CW30" s="23">
        <v>0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0</v>
      </c>
      <c r="DD30" s="23">
        <v>0</v>
      </c>
      <c r="DE30" s="23">
        <v>0</v>
      </c>
      <c r="DF30" s="23">
        <v>0</v>
      </c>
      <c r="DG30" s="23">
        <v>0</v>
      </c>
      <c r="DH30" s="23">
        <v>0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0</v>
      </c>
      <c r="DP30" s="23">
        <v>0</v>
      </c>
      <c r="DQ30" s="23">
        <v>0</v>
      </c>
      <c r="DR30" s="23">
        <v>0</v>
      </c>
      <c r="DS30" s="23">
        <v>0</v>
      </c>
      <c r="DT30" s="23">
        <v>0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DZ30" s="23">
        <v>0</v>
      </c>
      <c r="EA30" s="23">
        <v>0</v>
      </c>
      <c r="EB30" s="23">
        <v>0</v>
      </c>
      <c r="EC30" s="23">
        <v>0</v>
      </c>
      <c r="ED30" s="23">
        <v>0</v>
      </c>
      <c r="EE30" s="23">
        <v>0</v>
      </c>
      <c r="EF30" s="23">
        <v>0</v>
      </c>
      <c r="EG30" s="23">
        <v>0</v>
      </c>
      <c r="EH30" s="23">
        <v>-2.875</v>
      </c>
      <c r="EI30" s="23" cm="1">
        <f t="array" ref="EI30">VLOOKUP(A30,'Opponent List'!$A1:$P137,16,FALSE)</f>
        <v>1.0045077205078</v>
      </c>
      <c r="EJ30" s="23">
        <v>-1.87051168400926</v>
      </c>
    </row>
    <row r="31" ht="13.55" customHeight="1">
      <c r="A31" t="s" s="7">
        <v>104</v>
      </c>
      <c r="B31" s="22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-1.125</v>
      </c>
      <c r="Q31" s="23">
        <v>0</v>
      </c>
      <c r="R31" s="23">
        <v>-0.875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-0.875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-0.875</v>
      </c>
      <c r="AW31" s="23">
        <v>0</v>
      </c>
      <c r="AX31" s="23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v>0</v>
      </c>
      <c r="BQ31" s="23">
        <v>0</v>
      </c>
      <c r="BR31" s="23">
        <v>0</v>
      </c>
      <c r="BS31" s="23">
        <v>0</v>
      </c>
      <c r="BT31" s="23">
        <v>0</v>
      </c>
      <c r="BU31" s="23">
        <v>0</v>
      </c>
      <c r="BV31" s="23">
        <v>0</v>
      </c>
      <c r="BW31" s="23">
        <v>0</v>
      </c>
      <c r="BX31" s="23">
        <v>0</v>
      </c>
      <c r="BY31" s="23">
        <v>0</v>
      </c>
      <c r="BZ31" s="23">
        <v>0</v>
      </c>
      <c r="CA31" s="23">
        <v>0</v>
      </c>
      <c r="CB31" s="23">
        <v>0</v>
      </c>
      <c r="CC31" s="23">
        <v>0</v>
      </c>
      <c r="CD31" s="23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3">
        <v>0</v>
      </c>
      <c r="CQ31" s="23">
        <v>0</v>
      </c>
      <c r="CR31" s="23">
        <v>0</v>
      </c>
      <c r="CS31" s="23">
        <v>0.875</v>
      </c>
      <c r="CT31" s="23">
        <v>0</v>
      </c>
      <c r="CU31" s="23">
        <v>0</v>
      </c>
      <c r="CV31" s="23">
        <v>0</v>
      </c>
      <c r="CW31" s="23">
        <v>1.125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0</v>
      </c>
      <c r="DD31" s="23">
        <v>0</v>
      </c>
      <c r="DE31" s="23">
        <v>0</v>
      </c>
      <c r="DF31" s="23">
        <v>0</v>
      </c>
      <c r="DG31" s="23">
        <v>0</v>
      </c>
      <c r="DH31" s="23">
        <v>0</v>
      </c>
      <c r="DI31" s="23">
        <v>0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0</v>
      </c>
      <c r="DP31" s="23">
        <v>0</v>
      </c>
      <c r="DQ31" s="23">
        <v>0</v>
      </c>
      <c r="DR31" s="23">
        <v>-1.125</v>
      </c>
      <c r="DS31" s="23">
        <v>0</v>
      </c>
      <c r="DT31" s="23">
        <v>0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DZ31" s="23">
        <v>0</v>
      </c>
      <c r="EA31" s="23">
        <v>0</v>
      </c>
      <c r="EB31" s="23">
        <v>0</v>
      </c>
      <c r="EC31" s="23">
        <v>0</v>
      </c>
      <c r="ED31" s="23">
        <v>0</v>
      </c>
      <c r="EE31" s="23">
        <v>0</v>
      </c>
      <c r="EF31" s="23">
        <v>0</v>
      </c>
      <c r="EG31" s="23">
        <v>0</v>
      </c>
      <c r="EH31" s="23">
        <v>-2.875</v>
      </c>
      <c r="EI31" s="23" cm="1">
        <f t="array" ref="EI31">VLOOKUP(A31,'Opponent List'!$A1:$P137,16,FALSE)</f>
        <v>0.285771602520404</v>
      </c>
      <c r="EJ31" s="23">
        <v>-2.58914252844136</v>
      </c>
    </row>
    <row r="32" ht="13.55" customHeight="1">
      <c r="A32" t="s" s="7">
        <v>105</v>
      </c>
      <c r="B32" s="22">
        <v>0</v>
      </c>
      <c r="C32" s="23">
        <v>0</v>
      </c>
      <c r="D32" s="23">
        <v>0</v>
      </c>
      <c r="E32" s="23">
        <v>1.125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-1.125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v>0</v>
      </c>
      <c r="BQ32" s="23">
        <v>0</v>
      </c>
      <c r="BR32" s="23">
        <v>-1.125</v>
      </c>
      <c r="BS32" s="23">
        <v>0</v>
      </c>
      <c r="BT32" s="23">
        <v>0</v>
      </c>
      <c r="BU32" s="23">
        <v>0</v>
      </c>
      <c r="BV32" s="23">
        <v>-1.125</v>
      </c>
      <c r="BW32" s="23">
        <v>0</v>
      </c>
      <c r="BX32" s="23">
        <v>0</v>
      </c>
      <c r="BY32" s="23">
        <v>0</v>
      </c>
      <c r="BZ32" s="23">
        <v>0</v>
      </c>
      <c r="CA32" s="23">
        <v>0</v>
      </c>
      <c r="CB32" s="23">
        <v>-0.875</v>
      </c>
      <c r="CC32" s="23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0</v>
      </c>
      <c r="CR32" s="23">
        <v>0</v>
      </c>
      <c r="CS32" s="23">
        <v>0</v>
      </c>
      <c r="CT32" s="23">
        <v>0</v>
      </c>
      <c r="CU32" s="23">
        <v>0</v>
      </c>
      <c r="CV32" s="23">
        <v>0</v>
      </c>
      <c r="CW32" s="23">
        <v>0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0</v>
      </c>
      <c r="DD32" s="23">
        <v>0</v>
      </c>
      <c r="DE32" s="23">
        <v>-0.875</v>
      </c>
      <c r="DF32" s="23">
        <v>-0.875</v>
      </c>
      <c r="DG32" s="23">
        <v>0</v>
      </c>
      <c r="DH32" s="23">
        <v>0</v>
      </c>
      <c r="DI32" s="23">
        <v>0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0</v>
      </c>
      <c r="DP32" s="23">
        <v>0</v>
      </c>
      <c r="DQ32" s="23">
        <v>0</v>
      </c>
      <c r="DR32" s="23">
        <v>0</v>
      </c>
      <c r="DS32" s="23">
        <v>0</v>
      </c>
      <c r="DT32" s="23">
        <v>0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DZ32" s="23">
        <v>0</v>
      </c>
      <c r="EA32" s="23">
        <v>0</v>
      </c>
      <c r="EB32" s="23">
        <v>0</v>
      </c>
      <c r="EC32" s="23">
        <v>0</v>
      </c>
      <c r="ED32" s="23">
        <v>0</v>
      </c>
      <c r="EE32" s="23">
        <v>0</v>
      </c>
      <c r="EF32" s="23">
        <v>0</v>
      </c>
      <c r="EG32" s="23">
        <v>0</v>
      </c>
      <c r="EH32" s="23">
        <v>-4.875</v>
      </c>
      <c r="EI32" s="23" cm="1">
        <f t="array" ref="EI32">VLOOKUP(A32,'Opponent List'!$A1:$P137,16,FALSE)</f>
        <v>2.16673677709984</v>
      </c>
      <c r="EJ32" s="23">
        <v>-2.70831005953648</v>
      </c>
    </row>
    <row r="33" ht="13.55" customHeight="1">
      <c r="A33" t="s" s="7">
        <v>32</v>
      </c>
      <c r="B33" s="22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0.875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-0.875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0.875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1.125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v>0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23">
        <v>0</v>
      </c>
      <c r="BZ33" s="23">
        <v>1.125</v>
      </c>
      <c r="CA33" s="23">
        <v>0</v>
      </c>
      <c r="CB33" s="23">
        <v>0</v>
      </c>
      <c r="CC33" s="23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0</v>
      </c>
      <c r="CR33" s="23">
        <v>0</v>
      </c>
      <c r="CS33" s="23">
        <v>0</v>
      </c>
      <c r="CT33" s="23">
        <v>0</v>
      </c>
      <c r="CU33" s="23">
        <v>0</v>
      </c>
      <c r="CV33" s="23">
        <v>-0.875</v>
      </c>
      <c r="CW33" s="23">
        <v>1.125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0</v>
      </c>
      <c r="DD33" s="23">
        <v>0</v>
      </c>
      <c r="DE33" s="23">
        <v>0</v>
      </c>
      <c r="DF33" s="23">
        <v>0</v>
      </c>
      <c r="DG33" s="23">
        <v>0</v>
      </c>
      <c r="DH33" s="23">
        <v>0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0</v>
      </c>
      <c r="DP33" s="23">
        <v>0</v>
      </c>
      <c r="DQ33" s="23">
        <v>0</v>
      </c>
      <c r="DR33" s="23">
        <v>0</v>
      </c>
      <c r="DS33" s="23">
        <v>0</v>
      </c>
      <c r="DT33" s="23">
        <v>0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DZ33" s="23">
        <v>0</v>
      </c>
      <c r="EA33" s="23">
        <v>0</v>
      </c>
      <c r="EB33" s="23">
        <v>0</v>
      </c>
      <c r="EC33" s="23">
        <v>0</v>
      </c>
      <c r="ED33" s="23">
        <v>0</v>
      </c>
      <c r="EE33" s="23">
        <v>0</v>
      </c>
      <c r="EF33" s="23">
        <v>0</v>
      </c>
      <c r="EG33" s="23">
        <v>0</v>
      </c>
      <c r="EH33" s="23">
        <v>3.375</v>
      </c>
      <c r="EI33" s="23" cm="1">
        <f t="array" ref="EI33">VLOOKUP(A33,'Opponent List'!$A1:$P137,16,FALSE)</f>
        <v>0.19763089286736</v>
      </c>
      <c r="EJ33" s="23">
        <v>3.57260180896642</v>
      </c>
    </row>
    <row r="34" ht="13.55" customHeight="1">
      <c r="A34" t="s" s="7">
        <v>6</v>
      </c>
      <c r="B34" s="22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1.125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0.875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0.875</v>
      </c>
      <c r="BW34" s="23">
        <v>0</v>
      </c>
      <c r="BX34" s="23">
        <v>0.875</v>
      </c>
      <c r="BY34" s="23">
        <v>0</v>
      </c>
      <c r="BZ34" s="23">
        <v>0</v>
      </c>
      <c r="CA34" s="23">
        <v>0</v>
      </c>
      <c r="CB34" s="23">
        <v>0</v>
      </c>
      <c r="CC34" s="23">
        <v>0</v>
      </c>
      <c r="CD34" s="23">
        <v>0</v>
      </c>
      <c r="CE34" s="23">
        <v>0</v>
      </c>
      <c r="CF34" s="23">
        <v>0</v>
      </c>
      <c r="CG34" s="23">
        <v>0</v>
      </c>
      <c r="CH34" s="23">
        <v>1.125</v>
      </c>
      <c r="CI34" s="23">
        <v>0</v>
      </c>
      <c r="CJ34" s="23">
        <v>0</v>
      </c>
      <c r="CK34" s="23">
        <v>0.875</v>
      </c>
      <c r="CL34" s="23">
        <v>0</v>
      </c>
      <c r="CM34" s="23">
        <v>0</v>
      </c>
      <c r="CN34" s="23">
        <v>0</v>
      </c>
      <c r="CO34" s="23">
        <v>0</v>
      </c>
      <c r="CP34" s="23">
        <v>0</v>
      </c>
      <c r="CQ34" s="23">
        <v>0</v>
      </c>
      <c r="CR34" s="23">
        <v>0</v>
      </c>
      <c r="CS34" s="23">
        <v>0</v>
      </c>
      <c r="CT34" s="23">
        <v>0</v>
      </c>
      <c r="CU34" s="23">
        <v>1.125</v>
      </c>
      <c r="CV34" s="23">
        <v>0</v>
      </c>
      <c r="CW34" s="23">
        <v>0</v>
      </c>
      <c r="CX34" s="23">
        <v>0</v>
      </c>
      <c r="CY34" s="23">
        <v>0</v>
      </c>
      <c r="CZ34" s="23">
        <v>0</v>
      </c>
      <c r="DA34" s="23">
        <v>0</v>
      </c>
      <c r="DB34" s="23">
        <v>0</v>
      </c>
      <c r="DC34" s="23">
        <v>0</v>
      </c>
      <c r="DD34" s="23">
        <v>0</v>
      </c>
      <c r="DE34" s="23">
        <v>0</v>
      </c>
      <c r="DF34" s="23">
        <v>0</v>
      </c>
      <c r="DG34" s="23">
        <v>0</v>
      </c>
      <c r="DH34" s="23">
        <v>0</v>
      </c>
      <c r="DI34" s="23">
        <v>0</v>
      </c>
      <c r="DJ34" s="23">
        <v>0</v>
      </c>
      <c r="DK34" s="23">
        <v>0</v>
      </c>
      <c r="DL34" s="23">
        <v>0</v>
      </c>
      <c r="DM34" s="23">
        <v>0</v>
      </c>
      <c r="DN34" s="23">
        <v>0</v>
      </c>
      <c r="DO34" s="23">
        <v>0</v>
      </c>
      <c r="DP34" s="23">
        <v>0</v>
      </c>
      <c r="DQ34" s="23">
        <v>0</v>
      </c>
      <c r="DR34" s="23">
        <v>0</v>
      </c>
      <c r="DS34" s="23">
        <v>0</v>
      </c>
      <c r="DT34" s="23">
        <v>0</v>
      </c>
      <c r="DU34" s="23">
        <v>0</v>
      </c>
      <c r="DV34" s="23">
        <v>0</v>
      </c>
      <c r="DW34" s="23">
        <v>0</v>
      </c>
      <c r="DX34" s="23">
        <v>0</v>
      </c>
      <c r="DY34" s="23">
        <v>0</v>
      </c>
      <c r="DZ34" s="23">
        <v>0</v>
      </c>
      <c r="EA34" s="23">
        <v>0</v>
      </c>
      <c r="EB34" s="23">
        <v>0</v>
      </c>
      <c r="EC34" s="23">
        <v>0</v>
      </c>
      <c r="ED34" s="23">
        <v>0</v>
      </c>
      <c r="EE34" s="23">
        <v>0</v>
      </c>
      <c r="EF34" s="23">
        <v>0</v>
      </c>
      <c r="EG34" s="23">
        <v>0</v>
      </c>
      <c r="EH34" s="23">
        <v>6.875</v>
      </c>
      <c r="EI34" s="23" cm="1">
        <f t="array" ref="EI34">VLOOKUP(A34,'Opponent List'!$A1:$P137,16,FALSE)</f>
        <v>0.0167941429371471</v>
      </c>
      <c r="EJ34" s="23">
        <v>6.89188674772828</v>
      </c>
    </row>
    <row r="35" ht="13.55" customHeight="1">
      <c r="A35" t="s" s="7">
        <v>110</v>
      </c>
      <c r="B35" s="22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-0.875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v>0</v>
      </c>
      <c r="BE35" s="23">
        <v>-0.875</v>
      </c>
      <c r="BF35" s="23">
        <v>0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v>0</v>
      </c>
      <c r="BQ35" s="23">
        <v>0</v>
      </c>
      <c r="BR35" s="23">
        <v>0</v>
      </c>
      <c r="BS35" s="23">
        <v>0</v>
      </c>
      <c r="BT35" s="23">
        <v>0</v>
      </c>
      <c r="BU35" s="23">
        <v>-1.125</v>
      </c>
      <c r="BV35" s="23">
        <v>0</v>
      </c>
      <c r="BW35" s="23">
        <v>0</v>
      </c>
      <c r="BX35" s="23">
        <v>0</v>
      </c>
      <c r="BY35" s="23">
        <v>0</v>
      </c>
      <c r="BZ35" s="23">
        <v>0</v>
      </c>
      <c r="CA35" s="23">
        <v>0</v>
      </c>
      <c r="CB35" s="23">
        <v>1.125</v>
      </c>
      <c r="CC35" s="23">
        <v>0</v>
      </c>
      <c r="CD35" s="23">
        <v>0</v>
      </c>
      <c r="CE35" s="23">
        <v>0</v>
      </c>
      <c r="CF35" s="23">
        <v>-1.125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0</v>
      </c>
      <c r="CN35" s="23">
        <v>1.125</v>
      </c>
      <c r="CO35" s="23">
        <v>0</v>
      </c>
      <c r="CP35" s="23">
        <v>0</v>
      </c>
      <c r="CQ35" s="23">
        <v>0</v>
      </c>
      <c r="CR35" s="23">
        <v>0</v>
      </c>
      <c r="CS35" s="23">
        <v>0</v>
      </c>
      <c r="CT35" s="23">
        <v>0</v>
      </c>
      <c r="CU35" s="23">
        <v>0</v>
      </c>
      <c r="CV35" s="23">
        <v>0</v>
      </c>
      <c r="CW35" s="23">
        <v>0</v>
      </c>
      <c r="CX35" s="23">
        <v>0</v>
      </c>
      <c r="CY35" s="23">
        <v>0</v>
      </c>
      <c r="CZ35" s="23">
        <v>0</v>
      </c>
      <c r="DA35" s="23">
        <v>0</v>
      </c>
      <c r="DB35" s="23">
        <v>0</v>
      </c>
      <c r="DC35" s="23">
        <v>0</v>
      </c>
      <c r="DD35" s="23">
        <v>0</v>
      </c>
      <c r="DE35" s="23">
        <v>0</v>
      </c>
      <c r="DF35" s="23">
        <v>0</v>
      </c>
      <c r="DG35" s="23">
        <v>0</v>
      </c>
      <c r="DH35" s="23">
        <v>0</v>
      </c>
      <c r="DI35" s="23">
        <v>0</v>
      </c>
      <c r="DJ35" s="23">
        <v>0</v>
      </c>
      <c r="DK35" s="23">
        <v>0</v>
      </c>
      <c r="DL35" s="23">
        <v>0</v>
      </c>
      <c r="DM35" s="23">
        <v>-0.875</v>
      </c>
      <c r="DN35" s="23">
        <v>0</v>
      </c>
      <c r="DO35" s="23">
        <v>0</v>
      </c>
      <c r="DP35" s="23">
        <v>0</v>
      </c>
      <c r="DQ35" s="23">
        <v>0</v>
      </c>
      <c r="DR35" s="23">
        <v>0</v>
      </c>
      <c r="DS35" s="23">
        <v>0</v>
      </c>
      <c r="DT35" s="23">
        <v>0</v>
      </c>
      <c r="DU35" s="23">
        <v>0</v>
      </c>
      <c r="DV35" s="23">
        <v>0</v>
      </c>
      <c r="DW35" s="23">
        <v>0</v>
      </c>
      <c r="DX35" s="23">
        <v>0</v>
      </c>
      <c r="DY35" s="23">
        <v>0</v>
      </c>
      <c r="DZ35" s="23">
        <v>0</v>
      </c>
      <c r="EA35" s="23">
        <v>0</v>
      </c>
      <c r="EB35" s="23">
        <v>0</v>
      </c>
      <c r="EC35" s="23">
        <v>0</v>
      </c>
      <c r="ED35" s="23">
        <v>0</v>
      </c>
      <c r="EE35" s="23">
        <v>0</v>
      </c>
      <c r="EF35" s="23">
        <v>0</v>
      </c>
      <c r="EG35" s="23">
        <v>0</v>
      </c>
      <c r="EH35" s="23">
        <v>-2.625</v>
      </c>
      <c r="EI35" s="23" cm="1">
        <f t="array" ref="EI35">VLOOKUP(A35,'Opponent List'!$A1:$P137,16,FALSE)</f>
        <v>-0.617069522007781</v>
      </c>
      <c r="EJ35" s="23">
        <v>-3.24214829876599</v>
      </c>
    </row>
    <row r="36" ht="13.55" customHeight="1">
      <c r="A36" t="s" s="7">
        <v>76</v>
      </c>
      <c r="B36" s="22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-0.875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0.875</v>
      </c>
      <c r="AX36" s="23">
        <v>0</v>
      </c>
      <c r="AY36" s="23">
        <v>0</v>
      </c>
      <c r="AZ36" s="23">
        <v>0</v>
      </c>
      <c r="BA36" s="23">
        <v>0</v>
      </c>
      <c r="BB36" s="23">
        <v>0</v>
      </c>
      <c r="BC36" s="23">
        <v>0</v>
      </c>
      <c r="BD36" s="23">
        <v>0</v>
      </c>
      <c r="BE36" s="23">
        <v>0</v>
      </c>
      <c r="BF36" s="23">
        <v>0</v>
      </c>
      <c r="BG36" s="23">
        <v>0</v>
      </c>
      <c r="BH36" s="23">
        <v>-0.875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0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  <c r="BZ36" s="23">
        <v>0</v>
      </c>
      <c r="CA36" s="23">
        <v>0</v>
      </c>
      <c r="CB36" s="23">
        <v>0</v>
      </c>
      <c r="CC36" s="23">
        <v>-0.875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0.875</v>
      </c>
      <c r="CO36" s="23">
        <v>0</v>
      </c>
      <c r="CP36" s="23">
        <v>0</v>
      </c>
      <c r="CQ36" s="23">
        <v>0</v>
      </c>
      <c r="CR36" s="23">
        <v>0</v>
      </c>
      <c r="CS36" s="23">
        <v>0</v>
      </c>
      <c r="CT36" s="23">
        <v>0</v>
      </c>
      <c r="CU36" s="23">
        <v>0</v>
      </c>
      <c r="CV36" s="23">
        <v>0</v>
      </c>
      <c r="CW36" s="23">
        <v>0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0</v>
      </c>
      <c r="DD36" s="23">
        <v>0</v>
      </c>
      <c r="DE36" s="23">
        <v>0</v>
      </c>
      <c r="DF36" s="23">
        <v>-1.125</v>
      </c>
      <c r="DG36" s="23">
        <v>0</v>
      </c>
      <c r="DH36" s="23">
        <v>0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0</v>
      </c>
      <c r="DP36" s="23">
        <v>0</v>
      </c>
      <c r="DQ36" s="23">
        <v>0</v>
      </c>
      <c r="DR36" s="23">
        <v>-0.875</v>
      </c>
      <c r="DS36" s="23">
        <v>0</v>
      </c>
      <c r="DT36" s="23">
        <v>0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DZ36" s="23">
        <v>0</v>
      </c>
      <c r="EA36" s="23">
        <v>0</v>
      </c>
      <c r="EB36" s="23">
        <v>0</v>
      </c>
      <c r="EC36" s="23">
        <v>0</v>
      </c>
      <c r="ED36" s="23">
        <v>0</v>
      </c>
      <c r="EE36" s="23">
        <v>0</v>
      </c>
      <c r="EF36" s="23">
        <v>0</v>
      </c>
      <c r="EG36" s="23">
        <v>0</v>
      </c>
      <c r="EH36" s="23">
        <v>-2.875</v>
      </c>
      <c r="EI36" s="23" cm="1">
        <f t="array" ref="EI36">VLOOKUP(A36,'Opponent List'!$A1:$P137,16,FALSE)</f>
        <v>2.33681059180262</v>
      </c>
      <c r="EJ36" s="23">
        <v>-0.53831981595041</v>
      </c>
    </row>
    <row r="37" ht="13.55" customHeight="1">
      <c r="A37" t="s" s="7">
        <v>133</v>
      </c>
      <c r="B37" s="22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-0.875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-1.125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>
        <v>0</v>
      </c>
      <c r="BW37" s="23">
        <v>-0.875</v>
      </c>
      <c r="BX37" s="23">
        <v>0</v>
      </c>
      <c r="BY37" s="23">
        <v>0</v>
      </c>
      <c r="BZ37" s="23">
        <v>0</v>
      </c>
      <c r="CA37" s="23">
        <v>0</v>
      </c>
      <c r="CB37" s="23">
        <v>0</v>
      </c>
      <c r="CC37" s="23">
        <v>0</v>
      </c>
      <c r="CD37" s="23">
        <v>0</v>
      </c>
      <c r="CE37" s="23">
        <v>0</v>
      </c>
      <c r="CF37" s="23">
        <v>0</v>
      </c>
      <c r="CG37" s="23">
        <v>0</v>
      </c>
      <c r="CH37" s="23">
        <v>0</v>
      </c>
      <c r="CI37" s="23">
        <v>0</v>
      </c>
      <c r="CJ37" s="23">
        <v>0</v>
      </c>
      <c r="CK37" s="23">
        <v>0</v>
      </c>
      <c r="CL37" s="23">
        <v>0</v>
      </c>
      <c r="CM37" s="23">
        <v>0</v>
      </c>
      <c r="CN37" s="23">
        <v>0</v>
      </c>
      <c r="CO37" s="23">
        <v>0</v>
      </c>
      <c r="CP37" s="23">
        <v>-0.25</v>
      </c>
      <c r="CQ37" s="23">
        <v>0</v>
      </c>
      <c r="CR37" s="23">
        <v>0</v>
      </c>
      <c r="CS37" s="23">
        <v>0</v>
      </c>
      <c r="CT37" s="23">
        <v>0</v>
      </c>
      <c r="CU37" s="23">
        <v>0</v>
      </c>
      <c r="CV37" s="23">
        <v>0</v>
      </c>
      <c r="CW37" s="23">
        <v>0</v>
      </c>
      <c r="CX37" s="23">
        <v>-0.875</v>
      </c>
      <c r="CY37" s="23">
        <v>0</v>
      </c>
      <c r="CZ37" s="23">
        <v>-1.125</v>
      </c>
      <c r="DA37" s="23">
        <v>0</v>
      </c>
      <c r="DB37" s="23">
        <v>0</v>
      </c>
      <c r="DC37" s="23">
        <v>0</v>
      </c>
      <c r="DD37" s="23">
        <v>0</v>
      </c>
      <c r="DE37" s="23">
        <v>0</v>
      </c>
      <c r="DF37" s="23">
        <v>0</v>
      </c>
      <c r="DG37" s="23">
        <v>0</v>
      </c>
      <c r="DH37" s="23">
        <v>0</v>
      </c>
      <c r="DI37" s="23">
        <v>0</v>
      </c>
      <c r="DJ37" s="23">
        <v>0</v>
      </c>
      <c r="DK37" s="23">
        <v>0</v>
      </c>
      <c r="DL37" s="23">
        <v>0</v>
      </c>
      <c r="DM37" s="23">
        <v>0</v>
      </c>
      <c r="DN37" s="23">
        <v>0</v>
      </c>
      <c r="DO37" s="23">
        <v>0</v>
      </c>
      <c r="DP37" s="23">
        <v>0</v>
      </c>
      <c r="DQ37" s="23">
        <v>0</v>
      </c>
      <c r="DR37" s="23">
        <v>0</v>
      </c>
      <c r="DS37" s="23">
        <v>0</v>
      </c>
      <c r="DT37" s="23">
        <v>0</v>
      </c>
      <c r="DU37" s="23">
        <v>0</v>
      </c>
      <c r="DV37" s="23">
        <v>0</v>
      </c>
      <c r="DW37" s="23">
        <v>0</v>
      </c>
      <c r="DX37" s="23">
        <v>0</v>
      </c>
      <c r="DY37" s="23">
        <v>0</v>
      </c>
      <c r="DZ37" s="23">
        <v>0</v>
      </c>
      <c r="EA37" s="23">
        <v>0</v>
      </c>
      <c r="EB37" s="23">
        <v>0</v>
      </c>
      <c r="EC37" s="23">
        <v>0</v>
      </c>
      <c r="ED37" s="23">
        <v>0</v>
      </c>
      <c r="EE37" s="23">
        <v>0</v>
      </c>
      <c r="EF37" s="23">
        <v>0</v>
      </c>
      <c r="EG37" s="23">
        <v>0</v>
      </c>
      <c r="EH37" s="23">
        <v>-5.125</v>
      </c>
      <c r="EI37" s="23" cm="1">
        <f t="array" ref="EI37">VLOOKUP(A37,'Opponent List'!$A1:$P137,16,FALSE)</f>
        <v>-0.433590881833097</v>
      </c>
      <c r="EJ37" s="23">
        <v>-5.55857628514641</v>
      </c>
    </row>
    <row r="38" ht="13.55" customHeight="1">
      <c r="A38" t="s" s="7">
        <v>27</v>
      </c>
      <c r="B38" s="22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0.875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1.125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0.875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-0.875</v>
      </c>
      <c r="BP38" s="23">
        <v>0</v>
      </c>
      <c r="BQ38" s="23">
        <v>0</v>
      </c>
      <c r="BR38" s="23">
        <v>0</v>
      </c>
      <c r="BS38" s="23">
        <v>0</v>
      </c>
      <c r="BT38" s="23">
        <v>0</v>
      </c>
      <c r="BU38" s="23">
        <v>0</v>
      </c>
      <c r="BV38" s="23">
        <v>0</v>
      </c>
      <c r="BW38" s="23">
        <v>0</v>
      </c>
      <c r="BX38" s="23">
        <v>0.875</v>
      </c>
      <c r="BY38" s="23">
        <v>0</v>
      </c>
      <c r="BZ38" s="23">
        <v>0</v>
      </c>
      <c r="CA38" s="23">
        <v>0</v>
      </c>
      <c r="CB38" s="23">
        <v>0</v>
      </c>
      <c r="CC38" s="23">
        <v>0</v>
      </c>
      <c r="CD38" s="23">
        <v>0</v>
      </c>
      <c r="CE38" s="23">
        <v>0</v>
      </c>
      <c r="CF38" s="23">
        <v>0</v>
      </c>
      <c r="CG38" s="23">
        <v>0</v>
      </c>
      <c r="CH38" s="23">
        <v>0</v>
      </c>
      <c r="CI38" s="23">
        <v>0</v>
      </c>
      <c r="CJ38" s="23">
        <v>0</v>
      </c>
      <c r="CK38" s="23">
        <v>0</v>
      </c>
      <c r="CL38" s="23">
        <v>0</v>
      </c>
      <c r="CM38" s="23">
        <v>0</v>
      </c>
      <c r="CN38" s="23">
        <v>0</v>
      </c>
      <c r="CO38" s="23">
        <v>0</v>
      </c>
      <c r="CP38" s="23">
        <v>0</v>
      </c>
      <c r="CQ38" s="23">
        <v>0</v>
      </c>
      <c r="CR38" s="23">
        <v>0</v>
      </c>
      <c r="CS38" s="23">
        <v>0</v>
      </c>
      <c r="CT38" s="23">
        <v>0</v>
      </c>
      <c r="CU38" s="23">
        <v>0</v>
      </c>
      <c r="CV38" s="23">
        <v>0</v>
      </c>
      <c r="CW38" s="23">
        <v>0.875</v>
      </c>
      <c r="CX38" s="23">
        <v>0</v>
      </c>
      <c r="CY38" s="23">
        <v>0</v>
      </c>
      <c r="CZ38" s="23">
        <v>0</v>
      </c>
      <c r="DA38" s="23">
        <v>0</v>
      </c>
      <c r="DB38" s="23">
        <v>0</v>
      </c>
      <c r="DC38" s="23">
        <v>0</v>
      </c>
      <c r="DD38" s="23">
        <v>0</v>
      </c>
      <c r="DE38" s="23">
        <v>0</v>
      </c>
      <c r="DF38" s="23">
        <v>0</v>
      </c>
      <c r="DG38" s="23">
        <v>0</v>
      </c>
      <c r="DH38" s="23">
        <v>0</v>
      </c>
      <c r="DI38" s="23">
        <v>0</v>
      </c>
      <c r="DJ38" s="23">
        <v>0</v>
      </c>
      <c r="DK38" s="23">
        <v>0</v>
      </c>
      <c r="DL38" s="23">
        <v>0</v>
      </c>
      <c r="DM38" s="23">
        <v>0</v>
      </c>
      <c r="DN38" s="23">
        <v>0</v>
      </c>
      <c r="DO38" s="23">
        <v>0</v>
      </c>
      <c r="DP38" s="23">
        <v>0</v>
      </c>
      <c r="DQ38" s="23">
        <v>0</v>
      </c>
      <c r="DR38" s="23">
        <v>0</v>
      </c>
      <c r="DS38" s="23">
        <v>0</v>
      </c>
      <c r="DT38" s="23">
        <v>1.125</v>
      </c>
      <c r="DU38" s="23">
        <v>0</v>
      </c>
      <c r="DV38" s="23">
        <v>0</v>
      </c>
      <c r="DW38" s="23">
        <v>0</v>
      </c>
      <c r="DX38" s="23">
        <v>0</v>
      </c>
      <c r="DY38" s="23">
        <v>0</v>
      </c>
      <c r="DZ38" s="23">
        <v>0</v>
      </c>
      <c r="EA38" s="23">
        <v>0</v>
      </c>
      <c r="EB38" s="23">
        <v>0</v>
      </c>
      <c r="EC38" s="23">
        <v>0</v>
      </c>
      <c r="ED38" s="23">
        <v>0</v>
      </c>
      <c r="EE38" s="23">
        <v>0</v>
      </c>
      <c r="EF38" s="23">
        <v>0</v>
      </c>
      <c r="EG38" s="23">
        <v>0</v>
      </c>
      <c r="EH38" s="23">
        <v>4.875</v>
      </c>
      <c r="EI38" s="23" cm="1">
        <f t="array" ref="EI38">VLOOKUP(A38,'Opponent List'!$A1:$P137,16,FALSE)</f>
        <v>-0.870879385631683</v>
      </c>
      <c r="EJ38" s="23">
        <v>4.00435455050306</v>
      </c>
    </row>
    <row r="39" ht="13.55" customHeight="1">
      <c r="A39" t="s" s="7">
        <v>13</v>
      </c>
      <c r="B39" s="22">
        <v>0</v>
      </c>
      <c r="C39" s="23">
        <v>0</v>
      </c>
      <c r="D39" s="23">
        <v>0</v>
      </c>
      <c r="E39" s="23">
        <v>0</v>
      </c>
      <c r="F39" s="23">
        <v>1.125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1.125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-0.875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0.875</v>
      </c>
      <c r="BB39" s="23">
        <v>0</v>
      </c>
      <c r="BC39" s="23">
        <v>0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v>0</v>
      </c>
      <c r="BQ39" s="23">
        <v>0</v>
      </c>
      <c r="BR39" s="23">
        <v>-1.125</v>
      </c>
      <c r="BS39" s="23">
        <v>0</v>
      </c>
      <c r="BT39" s="23">
        <v>0</v>
      </c>
      <c r="BU39" s="23">
        <v>0</v>
      </c>
      <c r="BV39" s="23">
        <v>0</v>
      </c>
      <c r="BW39" s="23">
        <v>0</v>
      </c>
      <c r="BX39" s="23">
        <v>0</v>
      </c>
      <c r="BY39" s="23">
        <v>0</v>
      </c>
      <c r="BZ39" s="23">
        <v>0</v>
      </c>
      <c r="CA39" s="23">
        <v>0</v>
      </c>
      <c r="CB39" s="23">
        <v>0</v>
      </c>
      <c r="CC39" s="23">
        <v>0</v>
      </c>
      <c r="CD39" s="23">
        <v>0</v>
      </c>
      <c r="CE39" s="23">
        <v>0</v>
      </c>
      <c r="CF39" s="23">
        <v>0</v>
      </c>
      <c r="CG39" s="23">
        <v>0</v>
      </c>
      <c r="CH39" s="23">
        <v>0</v>
      </c>
      <c r="CI39" s="23">
        <v>0</v>
      </c>
      <c r="CJ39" s="23">
        <v>0</v>
      </c>
      <c r="CK39" s="23">
        <v>0</v>
      </c>
      <c r="CL39" s="23">
        <v>0</v>
      </c>
      <c r="CM39" s="23">
        <v>0</v>
      </c>
      <c r="CN39" s="23">
        <v>0</v>
      </c>
      <c r="CO39" s="23">
        <v>0</v>
      </c>
      <c r="CP39" s="23">
        <v>0</v>
      </c>
      <c r="CQ39" s="23">
        <v>1.125</v>
      </c>
      <c r="CR39" s="23">
        <v>0</v>
      </c>
      <c r="CS39" s="23">
        <v>0</v>
      </c>
      <c r="CT39" s="23">
        <v>0</v>
      </c>
      <c r="CU39" s="23">
        <v>0</v>
      </c>
      <c r="CV39" s="23">
        <v>0</v>
      </c>
      <c r="CW39" s="23">
        <v>0</v>
      </c>
      <c r="CX39" s="23">
        <v>0</v>
      </c>
      <c r="CY39" s="23">
        <v>0</v>
      </c>
      <c r="CZ39" s="23">
        <v>0</v>
      </c>
      <c r="DA39" s="23">
        <v>0</v>
      </c>
      <c r="DB39" s="23">
        <v>0</v>
      </c>
      <c r="DC39" s="23">
        <v>0</v>
      </c>
      <c r="DD39" s="23">
        <v>0</v>
      </c>
      <c r="DE39" s="23">
        <v>0</v>
      </c>
      <c r="DF39" s="23">
        <v>0</v>
      </c>
      <c r="DG39" s="23">
        <v>0</v>
      </c>
      <c r="DH39" s="23">
        <v>0</v>
      </c>
      <c r="DI39" s="23">
        <v>0</v>
      </c>
      <c r="DJ39" s="23">
        <v>0</v>
      </c>
      <c r="DK39" s="23">
        <v>0</v>
      </c>
      <c r="DL39" s="23">
        <v>0</v>
      </c>
      <c r="DM39" s="23">
        <v>0</v>
      </c>
      <c r="DN39" s="23">
        <v>0</v>
      </c>
      <c r="DO39" s="23">
        <v>0</v>
      </c>
      <c r="DP39" s="23">
        <v>0</v>
      </c>
      <c r="DQ39" s="23">
        <v>0</v>
      </c>
      <c r="DR39" s="23">
        <v>0</v>
      </c>
      <c r="DS39" s="23">
        <v>0</v>
      </c>
      <c r="DT39" s="23">
        <v>0</v>
      </c>
      <c r="DU39" s="23">
        <v>0</v>
      </c>
      <c r="DV39" s="23">
        <v>0</v>
      </c>
      <c r="DW39" s="23">
        <v>0</v>
      </c>
      <c r="DX39" s="23">
        <v>0</v>
      </c>
      <c r="DY39" s="23">
        <v>0</v>
      </c>
      <c r="DZ39" s="23">
        <v>0</v>
      </c>
      <c r="EA39" s="23">
        <v>0.875</v>
      </c>
      <c r="EB39" s="23">
        <v>0</v>
      </c>
      <c r="EC39" s="23">
        <v>0</v>
      </c>
      <c r="ED39" s="23">
        <v>0</v>
      </c>
      <c r="EE39" s="23">
        <v>0</v>
      </c>
      <c r="EF39" s="23">
        <v>0</v>
      </c>
      <c r="EG39" s="23">
        <v>0</v>
      </c>
      <c r="EH39" s="23">
        <v>3.125</v>
      </c>
      <c r="EI39" s="23" cm="1">
        <f t="array" ref="EI39">VLOOKUP(A39,'Opponent List'!$A1:$P137,16,FALSE)</f>
        <v>2.46620883926977</v>
      </c>
      <c r="EJ39" s="23">
        <v>5.59129696346212</v>
      </c>
    </row>
    <row r="40" ht="13.55" customHeight="1">
      <c r="A40" t="s" s="7">
        <v>97</v>
      </c>
      <c r="B40" s="22">
        <v>0</v>
      </c>
      <c r="C40" s="23">
        <v>0</v>
      </c>
      <c r="D40" s="23">
        <v>0</v>
      </c>
      <c r="E40" s="23">
        <v>0</v>
      </c>
      <c r="F40" s="23">
        <v>0</v>
      </c>
      <c r="G40" s="23">
        <v>-0.875</v>
      </c>
      <c r="H40" s="23">
        <v>0</v>
      </c>
      <c r="I40" s="23">
        <v>-1.125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0</v>
      </c>
      <c r="BT40" s="23">
        <v>0</v>
      </c>
      <c r="BU40" s="23">
        <v>0</v>
      </c>
      <c r="BV40" s="23">
        <v>0</v>
      </c>
      <c r="BW40" s="23">
        <v>-1.125</v>
      </c>
      <c r="BX40" s="23">
        <v>0</v>
      </c>
      <c r="BY40" s="23">
        <v>0</v>
      </c>
      <c r="BZ40" s="23">
        <v>0</v>
      </c>
      <c r="CA40" s="23">
        <v>0</v>
      </c>
      <c r="CB40" s="23">
        <v>0</v>
      </c>
      <c r="CC40" s="23">
        <v>0</v>
      </c>
      <c r="CD40" s="23">
        <v>-1.125</v>
      </c>
      <c r="CE40" s="23">
        <v>0</v>
      </c>
      <c r="CF40" s="23">
        <v>0</v>
      </c>
      <c r="CG40" s="23">
        <v>0</v>
      </c>
      <c r="CH40" s="23">
        <v>0</v>
      </c>
      <c r="CI40" s="23">
        <v>1.125</v>
      </c>
      <c r="CJ40" s="23">
        <v>0</v>
      </c>
      <c r="CK40" s="23">
        <v>0</v>
      </c>
      <c r="CL40" s="23">
        <v>0</v>
      </c>
      <c r="CM40" s="23">
        <v>0</v>
      </c>
      <c r="CN40" s="23">
        <v>0</v>
      </c>
      <c r="CO40" s="23">
        <v>0</v>
      </c>
      <c r="CP40" s="23">
        <v>0</v>
      </c>
      <c r="CQ40" s="23">
        <v>-1.125</v>
      </c>
      <c r="CR40" s="23">
        <v>0</v>
      </c>
      <c r="CS40" s="23">
        <v>0</v>
      </c>
      <c r="CT40" s="23">
        <v>0</v>
      </c>
      <c r="CU40" s="23">
        <v>0</v>
      </c>
      <c r="CV40" s="23">
        <v>0</v>
      </c>
      <c r="CW40" s="23">
        <v>0</v>
      </c>
      <c r="CX40" s="23">
        <v>0</v>
      </c>
      <c r="CY40" s="23">
        <v>0</v>
      </c>
      <c r="CZ40" s="23">
        <v>0.875</v>
      </c>
      <c r="DA40" s="23">
        <v>0</v>
      </c>
      <c r="DB40" s="23">
        <v>0</v>
      </c>
      <c r="DC40" s="23">
        <v>0</v>
      </c>
      <c r="DD40" s="23">
        <v>0</v>
      </c>
      <c r="DE40" s="23">
        <v>0</v>
      </c>
      <c r="DF40" s="23">
        <v>0</v>
      </c>
      <c r="DG40" s="23">
        <v>0</v>
      </c>
      <c r="DH40" s="23">
        <v>0</v>
      </c>
      <c r="DI40" s="23">
        <v>0</v>
      </c>
      <c r="DJ40" s="23">
        <v>0</v>
      </c>
      <c r="DK40" s="23">
        <v>0</v>
      </c>
      <c r="DL40" s="23">
        <v>0</v>
      </c>
      <c r="DM40" s="23">
        <v>0</v>
      </c>
      <c r="DN40" s="23">
        <v>0</v>
      </c>
      <c r="DO40" s="23">
        <v>0</v>
      </c>
      <c r="DP40" s="23">
        <v>0</v>
      </c>
      <c r="DQ40" s="23">
        <v>0</v>
      </c>
      <c r="DR40" s="23">
        <v>0</v>
      </c>
      <c r="DS40" s="23">
        <v>0</v>
      </c>
      <c r="DT40" s="23">
        <v>0</v>
      </c>
      <c r="DU40" s="23">
        <v>0</v>
      </c>
      <c r="DV40" s="23">
        <v>0</v>
      </c>
      <c r="DW40" s="23">
        <v>0</v>
      </c>
      <c r="DX40" s="23">
        <v>0</v>
      </c>
      <c r="DY40" s="23">
        <v>0</v>
      </c>
      <c r="DZ40" s="23">
        <v>0</v>
      </c>
      <c r="EA40" s="23">
        <v>0</v>
      </c>
      <c r="EB40" s="23">
        <v>0</v>
      </c>
      <c r="EC40" s="23">
        <v>0</v>
      </c>
      <c r="ED40" s="23">
        <v>0</v>
      </c>
      <c r="EE40" s="23">
        <v>0</v>
      </c>
      <c r="EF40" s="23">
        <v>0</v>
      </c>
      <c r="EG40" s="23">
        <v>0</v>
      </c>
      <c r="EH40" s="23">
        <v>-3.375</v>
      </c>
      <c r="EI40" s="23" cm="1">
        <f t="array" ref="EI40">VLOOKUP(A40,'Opponent List'!$A1:$P137,16,FALSE)</f>
        <v>1.32486135090287</v>
      </c>
      <c r="EJ40" s="23">
        <v>-2.05013712658942</v>
      </c>
    </row>
    <row r="41" ht="13.55" customHeight="1">
      <c r="A41" t="s" s="7">
        <v>118</v>
      </c>
      <c r="B41" s="22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-0.875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-1.125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-1.125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0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v>0</v>
      </c>
      <c r="BQ41" s="23">
        <v>0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23">
        <v>0</v>
      </c>
      <c r="BZ41" s="23">
        <v>0</v>
      </c>
      <c r="CA41" s="23">
        <v>0.875</v>
      </c>
      <c r="CB41" s="23">
        <v>0</v>
      </c>
      <c r="CC41" s="23">
        <v>0</v>
      </c>
      <c r="CD41" s="23">
        <v>0</v>
      </c>
      <c r="CE41" s="23">
        <v>0</v>
      </c>
      <c r="CF41" s="23">
        <v>0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0</v>
      </c>
      <c r="CM41" s="23">
        <v>0</v>
      </c>
      <c r="CN41" s="23">
        <v>0</v>
      </c>
      <c r="CO41" s="23">
        <v>0</v>
      </c>
      <c r="CP41" s="23">
        <v>0</v>
      </c>
      <c r="CQ41" s="23">
        <v>0</v>
      </c>
      <c r="CR41" s="23">
        <v>0</v>
      </c>
      <c r="CS41" s="23">
        <v>0</v>
      </c>
      <c r="CT41" s="23">
        <v>0</v>
      </c>
      <c r="CU41" s="23">
        <v>0</v>
      </c>
      <c r="CV41" s="23">
        <v>0</v>
      </c>
      <c r="CW41" s="23">
        <v>0</v>
      </c>
      <c r="CX41" s="23">
        <v>0</v>
      </c>
      <c r="CY41" s="23">
        <v>0</v>
      </c>
      <c r="CZ41" s="23">
        <v>0</v>
      </c>
      <c r="DA41" s="23">
        <v>0</v>
      </c>
      <c r="DB41" s="23">
        <v>-1.125</v>
      </c>
      <c r="DC41" s="23">
        <v>0</v>
      </c>
      <c r="DD41" s="23">
        <v>0</v>
      </c>
      <c r="DE41" s="23">
        <v>0</v>
      </c>
      <c r="DF41" s="23">
        <v>0</v>
      </c>
      <c r="DG41" s="23">
        <v>0</v>
      </c>
      <c r="DH41" s="23">
        <v>-0.875</v>
      </c>
      <c r="DI41" s="23">
        <v>0</v>
      </c>
      <c r="DJ41" s="23">
        <v>0</v>
      </c>
      <c r="DK41" s="23">
        <v>0</v>
      </c>
      <c r="DL41" s="23">
        <v>0</v>
      </c>
      <c r="DM41" s="23">
        <v>0</v>
      </c>
      <c r="DN41" s="23">
        <v>0</v>
      </c>
      <c r="DO41" s="23">
        <v>0</v>
      </c>
      <c r="DP41" s="23">
        <v>0</v>
      </c>
      <c r="DQ41" s="23">
        <v>0</v>
      </c>
      <c r="DR41" s="23">
        <v>0</v>
      </c>
      <c r="DS41" s="23">
        <v>0</v>
      </c>
      <c r="DT41" s="23">
        <v>0</v>
      </c>
      <c r="DU41" s="23">
        <v>0</v>
      </c>
      <c r="DV41" s="23">
        <v>0</v>
      </c>
      <c r="DW41" s="23">
        <v>0</v>
      </c>
      <c r="DX41" s="23">
        <v>0</v>
      </c>
      <c r="DY41" s="23">
        <v>0</v>
      </c>
      <c r="DZ41" s="23">
        <v>0.875</v>
      </c>
      <c r="EA41" s="23">
        <v>0</v>
      </c>
      <c r="EB41" s="23">
        <v>0</v>
      </c>
      <c r="EC41" s="23">
        <v>0</v>
      </c>
      <c r="ED41" s="23">
        <v>0</v>
      </c>
      <c r="EE41" s="23">
        <v>0</v>
      </c>
      <c r="EF41" s="23">
        <v>0</v>
      </c>
      <c r="EG41" s="23">
        <v>0</v>
      </c>
      <c r="EH41" s="23">
        <v>-3.375</v>
      </c>
      <c r="EI41" s="23" cm="1">
        <f t="array" ref="EI41">VLOOKUP(A41,'Opponent List'!$A1:$P137,16,FALSE)</f>
        <v>-0.461540586570189</v>
      </c>
      <c r="EJ41" s="23">
        <v>-3.83643338464872</v>
      </c>
    </row>
    <row r="42" ht="13.55" customHeight="1">
      <c r="A42" t="s" s="7">
        <v>19</v>
      </c>
      <c r="B42" s="22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0.875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0.875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3">
        <v>0</v>
      </c>
      <c r="BU42" s="23">
        <v>0.875</v>
      </c>
      <c r="BV42" s="23">
        <v>-0.875</v>
      </c>
      <c r="BW42" s="23">
        <v>0</v>
      </c>
      <c r="BX42" s="23">
        <v>1.125</v>
      </c>
      <c r="BY42" s="23">
        <v>0</v>
      </c>
      <c r="BZ42" s="23">
        <v>0</v>
      </c>
      <c r="CA42" s="23">
        <v>0</v>
      </c>
      <c r="CB42" s="23">
        <v>0</v>
      </c>
      <c r="CC42" s="23">
        <v>0</v>
      </c>
      <c r="CD42" s="23">
        <v>0</v>
      </c>
      <c r="CE42" s="23">
        <v>0</v>
      </c>
      <c r="CF42" s="23">
        <v>0</v>
      </c>
      <c r="CG42" s="23">
        <v>0</v>
      </c>
      <c r="CH42" s="23">
        <v>0</v>
      </c>
      <c r="CI42" s="23">
        <v>0</v>
      </c>
      <c r="CJ42" s="23">
        <v>0</v>
      </c>
      <c r="CK42" s="23">
        <v>0</v>
      </c>
      <c r="CL42" s="23">
        <v>0</v>
      </c>
      <c r="CM42" s="23">
        <v>0</v>
      </c>
      <c r="CN42" s="23">
        <v>0</v>
      </c>
      <c r="CO42" s="23">
        <v>0</v>
      </c>
      <c r="CP42" s="23">
        <v>1.125</v>
      </c>
      <c r="CQ42" s="23">
        <v>0</v>
      </c>
      <c r="CR42" s="23">
        <v>0</v>
      </c>
      <c r="CS42" s="23">
        <v>0</v>
      </c>
      <c r="CT42" s="23">
        <v>0</v>
      </c>
      <c r="CU42" s="23">
        <v>0</v>
      </c>
      <c r="CV42" s="23">
        <v>0</v>
      </c>
      <c r="CW42" s="23">
        <v>0</v>
      </c>
      <c r="CX42" s="23">
        <v>0</v>
      </c>
      <c r="CY42" s="23">
        <v>0</v>
      </c>
      <c r="CZ42" s="23">
        <v>0</v>
      </c>
      <c r="DA42" s="23">
        <v>1.125</v>
      </c>
      <c r="DB42" s="23">
        <v>0</v>
      </c>
      <c r="DC42" s="23">
        <v>0</v>
      </c>
      <c r="DD42" s="23">
        <v>0</v>
      </c>
      <c r="DE42" s="23">
        <v>0</v>
      </c>
      <c r="DF42" s="23">
        <v>0</v>
      </c>
      <c r="DG42" s="23">
        <v>0</v>
      </c>
      <c r="DH42" s="23">
        <v>0</v>
      </c>
      <c r="DI42" s="23">
        <v>0</v>
      </c>
      <c r="DJ42" s="23">
        <v>0</v>
      </c>
      <c r="DK42" s="23">
        <v>0</v>
      </c>
      <c r="DL42" s="23">
        <v>0</v>
      </c>
      <c r="DM42" s="23">
        <v>0</v>
      </c>
      <c r="DN42" s="23">
        <v>0</v>
      </c>
      <c r="DO42" s="23">
        <v>0</v>
      </c>
      <c r="DP42" s="23">
        <v>0</v>
      </c>
      <c r="DQ42" s="23">
        <v>0</v>
      </c>
      <c r="DR42" s="23">
        <v>0</v>
      </c>
      <c r="DS42" s="23">
        <v>0</v>
      </c>
      <c r="DT42" s="23">
        <v>0</v>
      </c>
      <c r="DU42" s="23">
        <v>0</v>
      </c>
      <c r="DV42" s="23">
        <v>0</v>
      </c>
      <c r="DW42" s="23">
        <v>0</v>
      </c>
      <c r="DX42" s="23">
        <v>0</v>
      </c>
      <c r="DY42" s="23">
        <v>0</v>
      </c>
      <c r="DZ42" s="23">
        <v>0</v>
      </c>
      <c r="EA42" s="23">
        <v>0</v>
      </c>
      <c r="EB42" s="23">
        <v>0</v>
      </c>
      <c r="EC42" s="23">
        <v>0</v>
      </c>
      <c r="ED42" s="23">
        <v>0</v>
      </c>
      <c r="EE42" s="23">
        <v>0</v>
      </c>
      <c r="EF42" s="23">
        <v>0</v>
      </c>
      <c r="EG42" s="23">
        <v>0</v>
      </c>
      <c r="EH42" s="23">
        <v>5.125</v>
      </c>
      <c r="EI42" s="23" cm="1">
        <f t="array" ref="EI42">VLOOKUP(A42,'Opponent List'!$A1:$P137,16,FALSE)</f>
        <v>-0.531817892520134</v>
      </c>
      <c r="EJ42" s="23">
        <v>4.5934517710258</v>
      </c>
    </row>
    <row r="43" ht="13.55" customHeight="1">
      <c r="A43" t="s" s="7">
        <v>61</v>
      </c>
      <c r="B43" s="22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-1.125</v>
      </c>
      <c r="J43" s="23">
        <v>0</v>
      </c>
      <c r="K43" s="23">
        <v>0</v>
      </c>
      <c r="L43" s="23">
        <v>0</v>
      </c>
      <c r="M43" s="23">
        <v>1.125</v>
      </c>
      <c r="N43" s="23">
        <v>0</v>
      </c>
      <c r="O43" s="23">
        <v>0</v>
      </c>
      <c r="P43" s="23">
        <v>0</v>
      </c>
      <c r="Q43" s="23">
        <v>0.875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0.875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1.125</v>
      </c>
      <c r="AP43" s="23">
        <v>0</v>
      </c>
      <c r="AQ43" s="23">
        <v>0</v>
      </c>
      <c r="AR43" s="23">
        <v>0</v>
      </c>
      <c r="AS43" s="23">
        <v>0</v>
      </c>
      <c r="AT43" s="23">
        <v>0.875</v>
      </c>
      <c r="AU43" s="23">
        <v>0</v>
      </c>
      <c r="AV43" s="23">
        <v>0</v>
      </c>
      <c r="AW43" s="23">
        <v>0</v>
      </c>
      <c r="AX43" s="23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0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0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23">
        <v>0</v>
      </c>
      <c r="BZ43" s="23">
        <v>0</v>
      </c>
      <c r="CA43" s="23">
        <v>0</v>
      </c>
      <c r="CB43" s="23">
        <v>0</v>
      </c>
      <c r="CC43" s="23">
        <v>0</v>
      </c>
      <c r="CD43" s="23">
        <v>0</v>
      </c>
      <c r="CE43" s="23">
        <v>0</v>
      </c>
      <c r="CF43" s="23">
        <v>0</v>
      </c>
      <c r="CG43" s="23">
        <v>0</v>
      </c>
      <c r="CH43" s="23">
        <v>0</v>
      </c>
      <c r="CI43" s="23">
        <v>0</v>
      </c>
      <c r="CJ43" s="23">
        <v>0</v>
      </c>
      <c r="CK43" s="23">
        <v>0</v>
      </c>
      <c r="CL43" s="23">
        <v>0</v>
      </c>
      <c r="CM43" s="23">
        <v>0</v>
      </c>
      <c r="CN43" s="23">
        <v>0</v>
      </c>
      <c r="CO43" s="23">
        <v>0</v>
      </c>
      <c r="CP43" s="23">
        <v>0</v>
      </c>
      <c r="CQ43" s="23">
        <v>0</v>
      </c>
      <c r="CR43" s="23">
        <v>0</v>
      </c>
      <c r="CS43" s="23">
        <v>0</v>
      </c>
      <c r="CT43" s="23">
        <v>0</v>
      </c>
      <c r="CU43" s="23">
        <v>0</v>
      </c>
      <c r="CV43" s="23">
        <v>0</v>
      </c>
      <c r="CW43" s="23">
        <v>0</v>
      </c>
      <c r="CX43" s="23">
        <v>0</v>
      </c>
      <c r="CY43" s="23">
        <v>0</v>
      </c>
      <c r="CZ43" s="23">
        <v>0</v>
      </c>
      <c r="DA43" s="23">
        <v>0</v>
      </c>
      <c r="DB43" s="23">
        <v>0</v>
      </c>
      <c r="DC43" s="23">
        <v>0</v>
      </c>
      <c r="DD43" s="23">
        <v>0</v>
      </c>
      <c r="DE43" s="23">
        <v>0</v>
      </c>
      <c r="DF43" s="23">
        <v>0</v>
      </c>
      <c r="DG43" s="23">
        <v>0</v>
      </c>
      <c r="DH43" s="23">
        <v>0.875</v>
      </c>
      <c r="DI43" s="23">
        <v>0</v>
      </c>
      <c r="DJ43" s="23">
        <v>0</v>
      </c>
      <c r="DK43" s="23">
        <v>0</v>
      </c>
      <c r="DL43" s="23">
        <v>0</v>
      </c>
      <c r="DM43" s="23">
        <v>0</v>
      </c>
      <c r="DN43" s="23">
        <v>0</v>
      </c>
      <c r="DO43" s="23">
        <v>0</v>
      </c>
      <c r="DP43" s="23">
        <v>0</v>
      </c>
      <c r="DQ43" s="23">
        <v>0</v>
      </c>
      <c r="DR43" s="23">
        <v>0</v>
      </c>
      <c r="DS43" s="23">
        <v>0</v>
      </c>
      <c r="DT43" s="23">
        <v>0</v>
      </c>
      <c r="DU43" s="23">
        <v>0</v>
      </c>
      <c r="DV43" s="23">
        <v>0</v>
      </c>
      <c r="DW43" s="23">
        <v>0</v>
      </c>
      <c r="DX43" s="23">
        <v>0</v>
      </c>
      <c r="DY43" s="23">
        <v>0</v>
      </c>
      <c r="DZ43" s="23">
        <v>0</v>
      </c>
      <c r="EA43" s="23">
        <v>0</v>
      </c>
      <c r="EB43" s="23">
        <v>0</v>
      </c>
      <c r="EC43" s="23">
        <v>0</v>
      </c>
      <c r="ED43" s="23">
        <v>0</v>
      </c>
      <c r="EE43" s="23">
        <v>0</v>
      </c>
      <c r="EF43" s="23">
        <v>0</v>
      </c>
      <c r="EG43" s="23">
        <v>0</v>
      </c>
      <c r="EH43" s="23">
        <v>4.625</v>
      </c>
      <c r="EI43" s="23" cm="1">
        <f t="array" ref="EI43">VLOOKUP(A43,'Opponent List'!$A1:$P137,16,FALSE)</f>
        <v>-3.86500488744293</v>
      </c>
      <c r="EJ43" s="23">
        <v>0.7599191252438799</v>
      </c>
    </row>
    <row r="44" ht="13.55" customHeight="1">
      <c r="A44" t="s" s="7">
        <v>23</v>
      </c>
      <c r="B44" s="22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0.875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3">
        <v>0</v>
      </c>
      <c r="AY44" s="23">
        <v>0</v>
      </c>
      <c r="AZ44" s="23">
        <v>0</v>
      </c>
      <c r="BA44" s="23">
        <v>0</v>
      </c>
      <c r="BB44" s="23">
        <v>0</v>
      </c>
      <c r="BC44" s="23">
        <v>0</v>
      </c>
      <c r="BD44" s="23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0.875</v>
      </c>
      <c r="BM44" s="23">
        <v>0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3">
        <v>1.125</v>
      </c>
      <c r="BT44" s="23">
        <v>0</v>
      </c>
      <c r="BU44" s="23">
        <v>0</v>
      </c>
      <c r="BV44" s="23">
        <v>0</v>
      </c>
      <c r="BW44" s="23">
        <v>0</v>
      </c>
      <c r="BX44" s="23">
        <v>0</v>
      </c>
      <c r="BY44" s="23">
        <v>0</v>
      </c>
      <c r="BZ44" s="23">
        <v>0</v>
      </c>
      <c r="CA44" s="23">
        <v>0</v>
      </c>
      <c r="CB44" s="23">
        <v>0</v>
      </c>
      <c r="CC44" s="23">
        <v>0</v>
      </c>
      <c r="CD44" s="23">
        <v>0</v>
      </c>
      <c r="CE44" s="23">
        <v>0</v>
      </c>
      <c r="CF44" s="23">
        <v>0</v>
      </c>
      <c r="CG44" s="23">
        <v>0</v>
      </c>
      <c r="CH44" s="23">
        <v>0</v>
      </c>
      <c r="CI44" s="23">
        <v>0</v>
      </c>
      <c r="CJ44" s="23">
        <v>0</v>
      </c>
      <c r="CK44" s="23">
        <v>0</v>
      </c>
      <c r="CL44" s="23">
        <v>0</v>
      </c>
      <c r="CM44" s="23">
        <v>1.125</v>
      </c>
      <c r="CN44" s="23">
        <v>0</v>
      </c>
      <c r="CO44" s="23">
        <v>0</v>
      </c>
      <c r="CP44" s="23">
        <v>0</v>
      </c>
      <c r="CQ44" s="23">
        <v>0</v>
      </c>
      <c r="CR44" s="23">
        <v>0</v>
      </c>
      <c r="CS44" s="23">
        <v>0</v>
      </c>
      <c r="CT44" s="23">
        <v>0</v>
      </c>
      <c r="CU44" s="23">
        <v>0</v>
      </c>
      <c r="CV44" s="23">
        <v>0</v>
      </c>
      <c r="CW44" s="23">
        <v>0</v>
      </c>
      <c r="CX44" s="23">
        <v>0</v>
      </c>
      <c r="CY44" s="23">
        <v>0</v>
      </c>
      <c r="CZ44" s="23">
        <v>0</v>
      </c>
      <c r="DA44" s="23">
        <v>0</v>
      </c>
      <c r="DB44" s="23">
        <v>0</v>
      </c>
      <c r="DC44" s="23">
        <v>0</v>
      </c>
      <c r="DD44" s="23">
        <v>0</v>
      </c>
      <c r="DE44" s="23">
        <v>0</v>
      </c>
      <c r="DF44" s="23">
        <v>-1.75</v>
      </c>
      <c r="DG44" s="23">
        <v>0</v>
      </c>
      <c r="DH44" s="23">
        <v>0</v>
      </c>
      <c r="DI44" s="23">
        <v>0</v>
      </c>
      <c r="DJ44" s="23">
        <v>0</v>
      </c>
      <c r="DK44" s="23">
        <v>0</v>
      </c>
      <c r="DL44" s="23">
        <v>0</v>
      </c>
      <c r="DM44" s="23">
        <v>0</v>
      </c>
      <c r="DN44" s="23">
        <v>0</v>
      </c>
      <c r="DO44" s="23">
        <v>0</v>
      </c>
      <c r="DP44" s="23">
        <v>0</v>
      </c>
      <c r="DQ44" s="23">
        <v>0</v>
      </c>
      <c r="DR44" s="23">
        <v>0</v>
      </c>
      <c r="DS44" s="23">
        <v>0</v>
      </c>
      <c r="DT44" s="23">
        <v>0</v>
      </c>
      <c r="DU44" s="23">
        <v>0</v>
      </c>
      <c r="DV44" s="23">
        <v>0</v>
      </c>
      <c r="DW44" s="23">
        <v>0</v>
      </c>
      <c r="DX44" s="23">
        <v>0</v>
      </c>
      <c r="DY44" s="23">
        <v>0</v>
      </c>
      <c r="DZ44" s="23">
        <v>0</v>
      </c>
      <c r="EA44" s="23">
        <v>0</v>
      </c>
      <c r="EB44" s="23">
        <v>0</v>
      </c>
      <c r="EC44" s="23">
        <v>0</v>
      </c>
      <c r="ED44" s="23">
        <v>0</v>
      </c>
      <c r="EE44" s="23">
        <v>0</v>
      </c>
      <c r="EF44" s="23">
        <v>1.125</v>
      </c>
      <c r="EG44" s="23">
        <v>0</v>
      </c>
      <c r="EH44" s="23">
        <v>3.375</v>
      </c>
      <c r="EI44" s="23" cm="1">
        <f t="array" ref="EI44">VLOOKUP(A44,'Opponent List'!$A1:$P137,16,FALSE)</f>
        <v>1.02690597153176</v>
      </c>
      <c r="EJ44" s="23">
        <v>4.40189201585545</v>
      </c>
    </row>
    <row r="45" ht="13.55" customHeight="1">
      <c r="A45" t="s" s="7">
        <v>41</v>
      </c>
      <c r="B45" s="22">
        <v>0</v>
      </c>
      <c r="C45" s="23">
        <v>1.125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0.875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0.875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-1.125</v>
      </c>
      <c r="BB45" s="23">
        <v>0</v>
      </c>
      <c r="BC45" s="23">
        <v>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v>0</v>
      </c>
      <c r="BQ45" s="23">
        <v>0</v>
      </c>
      <c r="BR45" s="23">
        <v>0</v>
      </c>
      <c r="BS45" s="23">
        <v>0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23">
        <v>0</v>
      </c>
      <c r="BZ45" s="23">
        <v>0</v>
      </c>
      <c r="CA45" s="23">
        <v>0</v>
      </c>
      <c r="CB45" s="23">
        <v>0</v>
      </c>
      <c r="CC45" s="23">
        <v>0</v>
      </c>
      <c r="CD45" s="23">
        <v>0</v>
      </c>
      <c r="CE45" s="23">
        <v>0</v>
      </c>
      <c r="CF45" s="23">
        <v>0</v>
      </c>
      <c r="CG45" s="23">
        <v>0</v>
      </c>
      <c r="CH45" s="23">
        <v>0</v>
      </c>
      <c r="CI45" s="23">
        <v>0</v>
      </c>
      <c r="CJ45" s="23">
        <v>0</v>
      </c>
      <c r="CK45" s="23">
        <v>0</v>
      </c>
      <c r="CL45" s="23">
        <v>0</v>
      </c>
      <c r="CM45" s="23">
        <v>0</v>
      </c>
      <c r="CN45" s="23">
        <v>0</v>
      </c>
      <c r="CO45" s="23">
        <v>0</v>
      </c>
      <c r="CP45" s="23">
        <v>0</v>
      </c>
      <c r="CQ45" s="23">
        <v>0</v>
      </c>
      <c r="CR45" s="23">
        <v>0</v>
      </c>
      <c r="CS45" s="23">
        <v>0</v>
      </c>
      <c r="CT45" s="23">
        <v>0</v>
      </c>
      <c r="CU45" s="23">
        <v>0</v>
      </c>
      <c r="CV45" s="23">
        <v>-0.875</v>
      </c>
      <c r="CW45" s="23">
        <v>0</v>
      </c>
      <c r="CX45" s="23">
        <v>0</v>
      </c>
      <c r="CY45" s="23">
        <v>0</v>
      </c>
      <c r="CZ45" s="23">
        <v>0</v>
      </c>
      <c r="DA45" s="23">
        <v>0</v>
      </c>
      <c r="DB45" s="23">
        <v>0</v>
      </c>
      <c r="DC45" s="23">
        <v>0</v>
      </c>
      <c r="DD45" s="23">
        <v>0</v>
      </c>
      <c r="DE45" s="23">
        <v>0</v>
      </c>
      <c r="DF45" s="23">
        <v>0</v>
      </c>
      <c r="DG45" s="23">
        <v>0</v>
      </c>
      <c r="DH45" s="23">
        <v>0</v>
      </c>
      <c r="DI45" s="23">
        <v>0</v>
      </c>
      <c r="DJ45" s="23">
        <v>0</v>
      </c>
      <c r="DK45" s="23">
        <v>0</v>
      </c>
      <c r="DL45" s="23">
        <v>0</v>
      </c>
      <c r="DM45" s="23">
        <v>0</v>
      </c>
      <c r="DN45" s="23">
        <v>0</v>
      </c>
      <c r="DO45" s="23">
        <v>0</v>
      </c>
      <c r="DP45" s="23">
        <v>0</v>
      </c>
      <c r="DQ45" s="23">
        <v>0</v>
      </c>
      <c r="DR45" s="23">
        <v>0</v>
      </c>
      <c r="DS45" s="23">
        <v>0</v>
      </c>
      <c r="DT45" s="23">
        <v>0</v>
      </c>
      <c r="DU45" s="23">
        <v>1.125</v>
      </c>
      <c r="DV45" s="23">
        <v>0</v>
      </c>
      <c r="DW45" s="23">
        <v>0</v>
      </c>
      <c r="DX45" s="23">
        <v>0</v>
      </c>
      <c r="DY45" s="23">
        <v>0</v>
      </c>
      <c r="DZ45" s="23">
        <v>0</v>
      </c>
      <c r="EA45" s="23">
        <v>0.875</v>
      </c>
      <c r="EB45" s="23">
        <v>0</v>
      </c>
      <c r="EC45" s="23">
        <v>0</v>
      </c>
      <c r="ED45" s="23">
        <v>0</v>
      </c>
      <c r="EE45" s="23">
        <v>0</v>
      </c>
      <c r="EF45" s="23">
        <v>0</v>
      </c>
      <c r="EG45" s="23">
        <v>0</v>
      </c>
      <c r="EH45" s="23">
        <v>2.875</v>
      </c>
      <c r="EI45" s="23" cm="1">
        <f t="array" ref="EI45">VLOOKUP(A45,'Opponent List'!$A1:$P137,16,FALSE)</f>
        <v>-0.0960083725462243</v>
      </c>
      <c r="EJ45" s="23">
        <v>2.77908909331727</v>
      </c>
    </row>
    <row r="46" ht="13.55" customHeight="1">
      <c r="A46" t="s" s="7">
        <v>112</v>
      </c>
      <c r="B46" s="22">
        <v>0</v>
      </c>
      <c r="C46" s="23">
        <v>0</v>
      </c>
      <c r="D46" s="23">
        <v>-0.875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-0.875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3">
        <v>0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-0.875</v>
      </c>
      <c r="BM46" s="23">
        <v>0.875</v>
      </c>
      <c r="BN46" s="23">
        <v>0</v>
      </c>
      <c r="BO46" s="23">
        <v>0</v>
      </c>
      <c r="BP46" s="23">
        <v>0</v>
      </c>
      <c r="BQ46" s="23">
        <v>0</v>
      </c>
      <c r="BR46" s="23">
        <v>-1.125</v>
      </c>
      <c r="BS46" s="23">
        <v>0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23">
        <v>0</v>
      </c>
      <c r="BZ46" s="23">
        <v>0</v>
      </c>
      <c r="CA46" s="23">
        <v>0</v>
      </c>
      <c r="CB46" s="23">
        <v>-0.875</v>
      </c>
      <c r="CC46" s="23">
        <v>0</v>
      </c>
      <c r="CD46" s="23">
        <v>0</v>
      </c>
      <c r="CE46" s="23">
        <v>0</v>
      </c>
      <c r="CF46" s="23">
        <v>0</v>
      </c>
      <c r="CG46" s="23">
        <v>-1.125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0</v>
      </c>
      <c r="CR46" s="23">
        <v>0</v>
      </c>
      <c r="CS46" s="23">
        <v>0</v>
      </c>
      <c r="CT46" s="23">
        <v>0</v>
      </c>
      <c r="CU46" s="23">
        <v>0</v>
      </c>
      <c r="CV46" s="23">
        <v>0</v>
      </c>
      <c r="CW46" s="23">
        <v>0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0</v>
      </c>
      <c r="DD46" s="23">
        <v>0</v>
      </c>
      <c r="DE46" s="23">
        <v>0</v>
      </c>
      <c r="DF46" s="23">
        <v>0</v>
      </c>
      <c r="DG46" s="23">
        <v>0</v>
      </c>
      <c r="DH46" s="23">
        <v>0</v>
      </c>
      <c r="DI46" s="23">
        <v>0</v>
      </c>
      <c r="DJ46" s="23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0</v>
      </c>
      <c r="DP46" s="23">
        <v>0</v>
      </c>
      <c r="DQ46" s="23">
        <v>0</v>
      </c>
      <c r="DR46" s="23">
        <v>0</v>
      </c>
      <c r="DS46" s="23">
        <v>0</v>
      </c>
      <c r="DT46" s="23">
        <v>0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DZ46" s="23">
        <v>0</v>
      </c>
      <c r="EA46" s="23">
        <v>0</v>
      </c>
      <c r="EB46" s="23">
        <v>0</v>
      </c>
      <c r="EC46" s="23">
        <v>0</v>
      </c>
      <c r="ED46" s="23">
        <v>0</v>
      </c>
      <c r="EE46" s="23">
        <v>0</v>
      </c>
      <c r="EF46" s="23">
        <v>0</v>
      </c>
      <c r="EG46" s="23">
        <v>0</v>
      </c>
      <c r="EH46" s="23">
        <v>-4.875</v>
      </c>
      <c r="EI46" s="23" cm="1">
        <f t="array" ref="EI46">VLOOKUP(A46,'Opponent List'!$A1:$P137,16,FALSE)</f>
        <v>1.57426383447332</v>
      </c>
      <c r="EJ46" s="23">
        <v>-3.30058825776286</v>
      </c>
    </row>
    <row r="47" ht="13.55" customHeight="1">
      <c r="A47" t="s" s="7">
        <v>111</v>
      </c>
      <c r="B47" s="22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-0.875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-0.875</v>
      </c>
      <c r="AC47" s="23">
        <v>1.125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-0.875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v>0</v>
      </c>
      <c r="BQ47" s="23">
        <v>-1.125</v>
      </c>
      <c r="BR47" s="23">
        <v>0</v>
      </c>
      <c r="BS47" s="23">
        <v>0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  <c r="BZ47" s="23">
        <v>0</v>
      </c>
      <c r="CA47" s="23">
        <v>0</v>
      </c>
      <c r="CB47" s="23">
        <v>0</v>
      </c>
      <c r="CC47" s="23">
        <v>0</v>
      </c>
      <c r="CD47" s="23">
        <v>0</v>
      </c>
      <c r="CE47" s="23">
        <v>0</v>
      </c>
      <c r="CF47" s="23">
        <v>0</v>
      </c>
      <c r="CG47" s="23">
        <v>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0</v>
      </c>
      <c r="CN47" s="23">
        <v>0</v>
      </c>
      <c r="CO47" s="23">
        <v>0</v>
      </c>
      <c r="CP47" s="23">
        <v>0</v>
      </c>
      <c r="CQ47" s="23">
        <v>0</v>
      </c>
      <c r="CR47" s="23">
        <v>0</v>
      </c>
      <c r="CS47" s="23">
        <v>0</v>
      </c>
      <c r="CT47" s="23">
        <v>0</v>
      </c>
      <c r="CU47" s="23">
        <v>0</v>
      </c>
      <c r="CV47" s="23">
        <v>0</v>
      </c>
      <c r="CW47" s="23">
        <v>0</v>
      </c>
      <c r="CX47" s="23">
        <v>0</v>
      </c>
      <c r="CY47" s="23">
        <v>0</v>
      </c>
      <c r="CZ47" s="23">
        <v>-0.875</v>
      </c>
      <c r="DA47" s="23">
        <v>0</v>
      </c>
      <c r="DB47" s="23">
        <v>0</v>
      </c>
      <c r="DC47" s="23">
        <v>0</v>
      </c>
      <c r="DD47" s="23">
        <v>0</v>
      </c>
      <c r="DE47" s="23">
        <v>0</v>
      </c>
      <c r="DF47" s="23">
        <v>0</v>
      </c>
      <c r="DG47" s="23">
        <v>0</v>
      </c>
      <c r="DH47" s="23">
        <v>0</v>
      </c>
      <c r="DI47" s="23">
        <v>0</v>
      </c>
      <c r="DJ47" s="23">
        <v>0</v>
      </c>
      <c r="DK47" s="23">
        <v>0</v>
      </c>
      <c r="DL47" s="23">
        <v>0</v>
      </c>
      <c r="DM47" s="23">
        <v>-0.875</v>
      </c>
      <c r="DN47" s="23">
        <v>0</v>
      </c>
      <c r="DO47" s="23">
        <v>0</v>
      </c>
      <c r="DP47" s="23">
        <v>0</v>
      </c>
      <c r="DQ47" s="23">
        <v>0</v>
      </c>
      <c r="DR47" s="23">
        <v>0</v>
      </c>
      <c r="DS47" s="23">
        <v>0</v>
      </c>
      <c r="DT47" s="23">
        <v>0</v>
      </c>
      <c r="DU47" s="23">
        <v>0</v>
      </c>
      <c r="DV47" s="23">
        <v>0</v>
      </c>
      <c r="DW47" s="23">
        <v>0</v>
      </c>
      <c r="DX47" s="23">
        <v>0</v>
      </c>
      <c r="DY47" s="23">
        <v>0</v>
      </c>
      <c r="DZ47" s="23">
        <v>0</v>
      </c>
      <c r="EA47" s="23">
        <v>0</v>
      </c>
      <c r="EB47" s="23">
        <v>0</v>
      </c>
      <c r="EC47" s="23">
        <v>0</v>
      </c>
      <c r="ED47" s="23">
        <v>0</v>
      </c>
      <c r="EE47" s="23">
        <v>0</v>
      </c>
      <c r="EF47" s="23">
        <v>0</v>
      </c>
      <c r="EG47" s="23">
        <v>0</v>
      </c>
      <c r="EH47" s="23">
        <v>-4.375</v>
      </c>
      <c r="EI47" s="23" cm="1">
        <f t="array" ref="EI47">VLOOKUP(A47,'Opponent List'!$A1:$P137,16,FALSE)</f>
        <v>1.09369626138461</v>
      </c>
      <c r="EJ47" s="23">
        <v>-3.28135612625608</v>
      </c>
    </row>
    <row r="48" ht="13.55" customHeight="1">
      <c r="A48" t="s" s="7">
        <v>67</v>
      </c>
      <c r="B48" s="22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1.125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0.875</v>
      </c>
      <c r="AF48" s="23">
        <v>0</v>
      </c>
      <c r="AG48" s="23">
        <v>-0.875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0.875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-1.125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  <c r="BZ48" s="23">
        <v>-0.875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0</v>
      </c>
      <c r="CN48" s="23">
        <v>0</v>
      </c>
      <c r="CO48" s="23">
        <v>0</v>
      </c>
      <c r="CP48" s="23">
        <v>0</v>
      </c>
      <c r="CQ48" s="23">
        <v>0</v>
      </c>
      <c r="CR48" s="23">
        <v>0</v>
      </c>
      <c r="CS48" s="23">
        <v>0</v>
      </c>
      <c r="CT48" s="23">
        <v>0</v>
      </c>
      <c r="CU48" s="23">
        <v>0</v>
      </c>
      <c r="CV48" s="23">
        <v>0</v>
      </c>
      <c r="CW48" s="23">
        <v>0</v>
      </c>
      <c r="CX48" s="23">
        <v>0</v>
      </c>
      <c r="CY48" s="23">
        <v>0</v>
      </c>
      <c r="CZ48" s="23">
        <v>0</v>
      </c>
      <c r="DA48" s="23">
        <v>0</v>
      </c>
      <c r="DB48" s="23">
        <v>0</v>
      </c>
      <c r="DC48" s="23">
        <v>0</v>
      </c>
      <c r="DD48" s="23">
        <v>0</v>
      </c>
      <c r="DE48" s="23">
        <v>0</v>
      </c>
      <c r="DF48" s="23">
        <v>0</v>
      </c>
      <c r="DG48" s="23">
        <v>0</v>
      </c>
      <c r="DH48" s="23">
        <v>0</v>
      </c>
      <c r="DI48" s="23">
        <v>0</v>
      </c>
      <c r="DJ48" s="23">
        <v>0</v>
      </c>
      <c r="DK48" s="23">
        <v>1.125</v>
      </c>
      <c r="DL48" s="23">
        <v>0</v>
      </c>
      <c r="DM48" s="23">
        <v>0</v>
      </c>
      <c r="DN48" s="23">
        <v>0</v>
      </c>
      <c r="DO48" s="23">
        <v>0</v>
      </c>
      <c r="DP48" s="23">
        <v>0</v>
      </c>
      <c r="DQ48" s="23">
        <v>0</v>
      </c>
      <c r="DR48" s="23">
        <v>0</v>
      </c>
      <c r="DS48" s="23">
        <v>0</v>
      </c>
      <c r="DT48" s="23">
        <v>0</v>
      </c>
      <c r="DU48" s="23">
        <v>0</v>
      </c>
      <c r="DV48" s="23">
        <v>0</v>
      </c>
      <c r="DW48" s="23">
        <v>0</v>
      </c>
      <c r="DX48" s="23">
        <v>0</v>
      </c>
      <c r="DY48" s="23">
        <v>0</v>
      </c>
      <c r="DZ48" s="23">
        <v>0</v>
      </c>
      <c r="EA48" s="23">
        <v>0</v>
      </c>
      <c r="EB48" s="23">
        <v>0</v>
      </c>
      <c r="EC48" s="23">
        <v>0</v>
      </c>
      <c r="ED48" s="23">
        <v>0</v>
      </c>
      <c r="EE48" s="23">
        <v>0</v>
      </c>
      <c r="EF48" s="23">
        <v>0</v>
      </c>
      <c r="EG48" s="23">
        <v>0</v>
      </c>
      <c r="EH48" s="23">
        <v>1.125</v>
      </c>
      <c r="EI48" s="23" cm="1">
        <f t="array" ref="EI48">VLOOKUP(A48,'Opponent List'!$A1:$P137,16,FALSE)</f>
        <v>-0.849405947161836</v>
      </c>
      <c r="EJ48" s="23">
        <v>0.275678160475329</v>
      </c>
    </row>
    <row r="49" ht="13.55" customHeight="1">
      <c r="A49" t="s" s="7">
        <v>20</v>
      </c>
      <c r="B49" s="22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1.125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-0.875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0.875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v>0.875</v>
      </c>
      <c r="BQ49" s="23">
        <v>1.125</v>
      </c>
      <c r="BR49" s="23">
        <v>0</v>
      </c>
      <c r="BS49" s="23">
        <v>0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23">
        <v>0</v>
      </c>
      <c r="BZ49" s="23">
        <v>0</v>
      </c>
      <c r="CA49" s="23">
        <v>0</v>
      </c>
      <c r="CB49" s="23">
        <v>0</v>
      </c>
      <c r="CC49" s="23">
        <v>0</v>
      </c>
      <c r="CD49" s="23">
        <v>0.875</v>
      </c>
      <c r="CE49" s="23">
        <v>0</v>
      </c>
      <c r="CF49" s="23">
        <v>0</v>
      </c>
      <c r="CG49" s="23">
        <v>-0.875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0</v>
      </c>
      <c r="CN49" s="23">
        <v>0</v>
      </c>
      <c r="CO49" s="23">
        <v>0</v>
      </c>
      <c r="CP49" s="23">
        <v>0</v>
      </c>
      <c r="CQ49" s="23">
        <v>0</v>
      </c>
      <c r="CR49" s="23">
        <v>0</v>
      </c>
      <c r="CS49" s="23">
        <v>0</v>
      </c>
      <c r="CT49" s="23">
        <v>0</v>
      </c>
      <c r="CU49" s="23">
        <v>0</v>
      </c>
      <c r="CV49" s="23">
        <v>0</v>
      </c>
      <c r="CW49" s="23">
        <v>0</v>
      </c>
      <c r="CX49" s="23">
        <v>0</v>
      </c>
      <c r="CY49" s="23">
        <v>0</v>
      </c>
      <c r="CZ49" s="23">
        <v>0</v>
      </c>
      <c r="DA49" s="23">
        <v>0</v>
      </c>
      <c r="DB49" s="23">
        <v>0</v>
      </c>
      <c r="DC49" s="23">
        <v>0</v>
      </c>
      <c r="DD49" s="23">
        <v>0</v>
      </c>
      <c r="DE49" s="23">
        <v>0</v>
      </c>
      <c r="DF49" s="23">
        <v>0</v>
      </c>
      <c r="DG49" s="23">
        <v>0</v>
      </c>
      <c r="DH49" s="23">
        <v>0</v>
      </c>
      <c r="DI49" s="23">
        <v>0</v>
      </c>
      <c r="DJ49" s="23">
        <v>0</v>
      </c>
      <c r="DK49" s="23">
        <v>0</v>
      </c>
      <c r="DL49" s="23">
        <v>0</v>
      </c>
      <c r="DM49" s="23">
        <v>0</v>
      </c>
      <c r="DN49" s="23">
        <v>0</v>
      </c>
      <c r="DO49" s="23">
        <v>0</v>
      </c>
      <c r="DP49" s="23">
        <v>0</v>
      </c>
      <c r="DQ49" s="23">
        <v>0</v>
      </c>
      <c r="DR49" s="23">
        <v>0</v>
      </c>
      <c r="DS49" s="23">
        <v>0</v>
      </c>
      <c r="DT49" s="23">
        <v>0</v>
      </c>
      <c r="DU49" s="23">
        <v>0</v>
      </c>
      <c r="DV49" s="23">
        <v>0</v>
      </c>
      <c r="DW49" s="23">
        <v>0</v>
      </c>
      <c r="DX49" s="23">
        <v>0</v>
      </c>
      <c r="DY49" s="23">
        <v>0</v>
      </c>
      <c r="DZ49" s="23">
        <v>0</v>
      </c>
      <c r="EA49" s="23">
        <v>0</v>
      </c>
      <c r="EB49" s="23">
        <v>0</v>
      </c>
      <c r="EC49" s="23">
        <v>0</v>
      </c>
      <c r="ED49" s="23">
        <v>0</v>
      </c>
      <c r="EE49" s="23">
        <v>0</v>
      </c>
      <c r="EF49" s="23">
        <v>0</v>
      </c>
      <c r="EG49" s="23">
        <v>0</v>
      </c>
      <c r="EH49" s="23">
        <v>3.125</v>
      </c>
      <c r="EI49" s="23" cm="1">
        <f t="array" ref="EI49">VLOOKUP(A49,'Opponent List'!$A1:$P137,16,FALSE)</f>
        <v>1.45375096509159</v>
      </c>
      <c r="EJ49" s="23">
        <v>4.57875396195659</v>
      </c>
    </row>
    <row r="50" ht="13.55" customHeight="1">
      <c r="A50" t="s" s="7">
        <v>120</v>
      </c>
      <c r="B50" s="22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-0.25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-0.875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-0.875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0</v>
      </c>
      <c r="CR50" s="23">
        <v>0</v>
      </c>
      <c r="CS50" s="23">
        <v>0</v>
      </c>
      <c r="CT50" s="23">
        <v>0</v>
      </c>
      <c r="CU50" s="23">
        <v>0</v>
      </c>
      <c r="CV50" s="23">
        <v>0</v>
      </c>
      <c r="CW50" s="23">
        <v>0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0</v>
      </c>
      <c r="DD50" s="23">
        <v>0</v>
      </c>
      <c r="DE50" s="23">
        <v>0</v>
      </c>
      <c r="DF50" s="23">
        <v>0</v>
      </c>
      <c r="DG50" s="23">
        <v>-1.125</v>
      </c>
      <c r="DH50" s="23">
        <v>0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0</v>
      </c>
      <c r="DR50" s="23">
        <v>0</v>
      </c>
      <c r="DS50" s="23">
        <v>0</v>
      </c>
      <c r="DT50" s="23">
        <v>-1.125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DZ50" s="23">
        <v>0</v>
      </c>
      <c r="EA50" s="23">
        <v>0</v>
      </c>
      <c r="EB50" s="23">
        <v>0</v>
      </c>
      <c r="EC50" s="23">
        <v>0</v>
      </c>
      <c r="ED50" s="23">
        <v>0</v>
      </c>
      <c r="EE50" s="23">
        <v>-1.125</v>
      </c>
      <c r="EF50" s="23">
        <v>0</v>
      </c>
      <c r="EG50" s="23">
        <v>0</v>
      </c>
      <c r="EH50" s="23">
        <v>-5.375</v>
      </c>
      <c r="EI50" s="23" cm="1">
        <f t="array" ref="EI50">VLOOKUP(A50,'Opponent List'!$A1:$P137,16,FALSE)</f>
        <v>1.35188807117057</v>
      </c>
      <c r="EJ50" s="23">
        <v>-4.02321925506876</v>
      </c>
    </row>
    <row r="51" ht="13.55" customHeight="1">
      <c r="A51" t="s" s="7">
        <v>129</v>
      </c>
      <c r="B51" s="22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-0.875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-0.875</v>
      </c>
      <c r="BG51" s="23">
        <v>-1.125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3">
        <v>0</v>
      </c>
      <c r="CB51" s="23">
        <v>0</v>
      </c>
      <c r="CC51" s="23">
        <v>0</v>
      </c>
      <c r="CD51" s="23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-1.125</v>
      </c>
      <c r="CM51" s="23">
        <v>0</v>
      </c>
      <c r="CN51" s="23">
        <v>0</v>
      </c>
      <c r="CO51" s="23">
        <v>0</v>
      </c>
      <c r="CP51" s="23">
        <v>0</v>
      </c>
      <c r="CQ51" s="23">
        <v>0</v>
      </c>
      <c r="CR51" s="23">
        <v>0</v>
      </c>
      <c r="CS51" s="23">
        <v>0</v>
      </c>
      <c r="CT51" s="23">
        <v>0</v>
      </c>
      <c r="CU51" s="23">
        <v>0</v>
      </c>
      <c r="CV51" s="23">
        <v>0</v>
      </c>
      <c r="CW51" s="23">
        <v>0</v>
      </c>
      <c r="CX51" s="23">
        <v>0</v>
      </c>
      <c r="CY51" s="23">
        <v>0</v>
      </c>
      <c r="CZ51" s="23">
        <v>0</v>
      </c>
      <c r="DA51" s="23">
        <v>0</v>
      </c>
      <c r="DB51" s="23">
        <v>0</v>
      </c>
      <c r="DC51" s="23">
        <v>-0.875</v>
      </c>
      <c r="DD51" s="23">
        <v>0</v>
      </c>
      <c r="DE51" s="23">
        <v>0</v>
      </c>
      <c r="DF51" s="23">
        <v>0</v>
      </c>
      <c r="DG51" s="23">
        <v>0</v>
      </c>
      <c r="DH51" s="23">
        <v>0</v>
      </c>
      <c r="DI51" s="23">
        <v>0</v>
      </c>
      <c r="DJ51" s="23">
        <v>0</v>
      </c>
      <c r="DK51" s="23">
        <v>0</v>
      </c>
      <c r="DL51" s="23">
        <v>0</v>
      </c>
      <c r="DM51" s="23">
        <v>0</v>
      </c>
      <c r="DN51" s="23">
        <v>0</v>
      </c>
      <c r="DO51" s="23">
        <v>0</v>
      </c>
      <c r="DP51" s="23">
        <v>1.125</v>
      </c>
      <c r="DQ51" s="23">
        <v>-0.875</v>
      </c>
      <c r="DR51" s="23">
        <v>0</v>
      </c>
      <c r="DS51" s="23">
        <v>0</v>
      </c>
      <c r="DT51" s="23">
        <v>0</v>
      </c>
      <c r="DU51" s="23">
        <v>0</v>
      </c>
      <c r="DV51" s="23">
        <v>0</v>
      </c>
      <c r="DW51" s="23">
        <v>0</v>
      </c>
      <c r="DX51" s="23">
        <v>0</v>
      </c>
      <c r="DY51" s="23">
        <v>0</v>
      </c>
      <c r="DZ51" s="23">
        <v>0</v>
      </c>
      <c r="EA51" s="23">
        <v>0</v>
      </c>
      <c r="EB51" s="23">
        <v>0</v>
      </c>
      <c r="EC51" s="23">
        <v>0</v>
      </c>
      <c r="ED51" s="23">
        <v>0</v>
      </c>
      <c r="EE51" s="23">
        <v>0</v>
      </c>
      <c r="EF51" s="23">
        <v>0</v>
      </c>
      <c r="EG51" s="23">
        <v>0</v>
      </c>
      <c r="EH51" s="23">
        <v>-4.625</v>
      </c>
      <c r="EI51" s="23" cm="1">
        <f t="array" ref="EI51">VLOOKUP(A51,'Opponent List'!$A1:$P137,16,FALSE)</f>
        <v>-0.198320523460538</v>
      </c>
      <c r="EJ51" s="23">
        <v>-4.82358776660641</v>
      </c>
    </row>
    <row r="52" ht="13.55" customHeight="1">
      <c r="A52" t="s" s="7">
        <v>57</v>
      </c>
      <c r="B52" s="22">
        <v>0</v>
      </c>
      <c r="C52" s="23">
        <v>0</v>
      </c>
      <c r="D52" s="23">
        <v>0</v>
      </c>
      <c r="E52" s="23">
        <v>0.875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-1.125</v>
      </c>
      <c r="BF52" s="23">
        <v>0</v>
      </c>
      <c r="BG52" s="23">
        <v>1.125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-1.125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1.125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0</v>
      </c>
      <c r="CR52" s="23">
        <v>0</v>
      </c>
      <c r="CS52" s="23">
        <v>0</v>
      </c>
      <c r="CT52" s="23">
        <v>0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0</v>
      </c>
      <c r="DD52" s="23">
        <v>0</v>
      </c>
      <c r="DE52" s="23">
        <v>0</v>
      </c>
      <c r="DF52" s="23">
        <v>-0.875</v>
      </c>
      <c r="DG52" s="23">
        <v>0</v>
      </c>
      <c r="DH52" s="23">
        <v>0</v>
      </c>
      <c r="DI52" s="23">
        <v>0</v>
      </c>
      <c r="DJ52" s="23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0</v>
      </c>
      <c r="DP52" s="23">
        <v>0</v>
      </c>
      <c r="DQ52" s="23">
        <v>0</v>
      </c>
      <c r="DR52" s="23">
        <v>0</v>
      </c>
      <c r="DS52" s="23">
        <v>0</v>
      </c>
      <c r="DT52" s="23">
        <v>0</v>
      </c>
      <c r="DU52" s="23">
        <v>1.125</v>
      </c>
      <c r="DV52" s="23">
        <v>0</v>
      </c>
      <c r="DW52" s="23">
        <v>0</v>
      </c>
      <c r="DX52" s="23">
        <v>0</v>
      </c>
      <c r="DY52" s="23">
        <v>0</v>
      </c>
      <c r="DZ52" s="23">
        <v>0</v>
      </c>
      <c r="EA52" s="23">
        <v>0</v>
      </c>
      <c r="EB52" s="23">
        <v>0</v>
      </c>
      <c r="EC52" s="23">
        <v>0</v>
      </c>
      <c r="ED52" s="23">
        <v>0</v>
      </c>
      <c r="EE52" s="23">
        <v>0</v>
      </c>
      <c r="EF52" s="23">
        <v>0</v>
      </c>
      <c r="EG52" s="23">
        <v>0</v>
      </c>
      <c r="EH52" s="23">
        <v>1.125</v>
      </c>
      <c r="EI52" s="23" cm="1">
        <f t="array" ref="EI52">VLOOKUP(A52,'Opponent List'!$A1:$P137,16,FALSE)</f>
        <v>0.479813289105994</v>
      </c>
      <c r="EJ52" s="23">
        <v>1.60467129115595</v>
      </c>
    </row>
    <row r="53" ht="13.55" customHeight="1">
      <c r="A53" t="s" s="7">
        <v>31</v>
      </c>
      <c r="B53" s="22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-1.125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-0.875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1.125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1.125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23">
        <v>0</v>
      </c>
      <c r="BR53" s="23">
        <v>0</v>
      </c>
      <c r="BS53" s="23">
        <v>0</v>
      </c>
      <c r="BT53" s="23">
        <v>0</v>
      </c>
      <c r="BU53" s="23">
        <v>0</v>
      </c>
      <c r="BV53" s="23">
        <v>0</v>
      </c>
      <c r="BW53" s="23">
        <v>0</v>
      </c>
      <c r="BX53" s="23">
        <v>0</v>
      </c>
      <c r="BY53" s="23">
        <v>0</v>
      </c>
      <c r="BZ53" s="23">
        <v>0</v>
      </c>
      <c r="CA53" s="23">
        <v>0</v>
      </c>
      <c r="CB53" s="23">
        <v>0</v>
      </c>
      <c r="CC53" s="23">
        <v>0</v>
      </c>
      <c r="CD53" s="23">
        <v>0</v>
      </c>
      <c r="CE53" s="23">
        <v>0</v>
      </c>
      <c r="CF53" s="23">
        <v>0</v>
      </c>
      <c r="CG53" s="23">
        <v>0</v>
      </c>
      <c r="CH53" s="23">
        <v>0</v>
      </c>
      <c r="CI53" s="23">
        <v>0</v>
      </c>
      <c r="CJ53" s="23">
        <v>0</v>
      </c>
      <c r="CK53" s="23">
        <v>0</v>
      </c>
      <c r="CL53" s="23">
        <v>0</v>
      </c>
      <c r="CM53" s="23">
        <v>0</v>
      </c>
      <c r="CN53" s="23">
        <v>0</v>
      </c>
      <c r="CO53" s="23">
        <v>0</v>
      </c>
      <c r="CP53" s="23">
        <v>0</v>
      </c>
      <c r="CQ53" s="23">
        <v>0</v>
      </c>
      <c r="CR53" s="23">
        <v>-0.875</v>
      </c>
      <c r="CS53" s="23">
        <v>0</v>
      </c>
      <c r="CT53" s="23">
        <v>0</v>
      </c>
      <c r="CU53" s="23">
        <v>0</v>
      </c>
      <c r="CV53" s="23">
        <v>0</v>
      </c>
      <c r="CW53" s="23">
        <v>0</v>
      </c>
      <c r="CX53" s="23">
        <v>0</v>
      </c>
      <c r="CY53" s="23">
        <v>0</v>
      </c>
      <c r="CZ53" s="23">
        <v>0</v>
      </c>
      <c r="DA53" s="23">
        <v>0</v>
      </c>
      <c r="DB53" s="23">
        <v>0</v>
      </c>
      <c r="DC53" s="23">
        <v>0</v>
      </c>
      <c r="DD53" s="23">
        <v>0</v>
      </c>
      <c r="DE53" s="23">
        <v>0</v>
      </c>
      <c r="DF53" s="23">
        <v>0</v>
      </c>
      <c r="DG53" s="23">
        <v>0</v>
      </c>
      <c r="DH53" s="23">
        <v>0</v>
      </c>
      <c r="DI53" s="23">
        <v>0</v>
      </c>
      <c r="DJ53" s="23">
        <v>0</v>
      </c>
      <c r="DK53" s="23">
        <v>0</v>
      </c>
      <c r="DL53" s="23">
        <v>0</v>
      </c>
      <c r="DM53" s="23">
        <v>0</v>
      </c>
      <c r="DN53" s="23">
        <v>0</v>
      </c>
      <c r="DO53" s="23">
        <v>0</v>
      </c>
      <c r="DP53" s="23">
        <v>0</v>
      </c>
      <c r="DQ53" s="23">
        <v>0</v>
      </c>
      <c r="DR53" s="23">
        <v>0</v>
      </c>
      <c r="DS53" s="23">
        <v>0</v>
      </c>
      <c r="DT53" s="23">
        <v>0</v>
      </c>
      <c r="DU53" s="23">
        <v>0</v>
      </c>
      <c r="DV53" s="23">
        <v>0</v>
      </c>
      <c r="DW53" s="23">
        <v>0</v>
      </c>
      <c r="DX53" s="23">
        <v>2.25</v>
      </c>
      <c r="DY53" s="23">
        <v>0</v>
      </c>
      <c r="DZ53" s="23">
        <v>0</v>
      </c>
      <c r="EA53" s="23">
        <v>0</v>
      </c>
      <c r="EB53" s="23">
        <v>0</v>
      </c>
      <c r="EC53" s="23">
        <v>0</v>
      </c>
      <c r="ED53" s="23">
        <v>0</v>
      </c>
      <c r="EE53" s="23">
        <v>0</v>
      </c>
      <c r="EF53" s="23">
        <v>0</v>
      </c>
      <c r="EG53" s="23">
        <v>0</v>
      </c>
      <c r="EH53" s="23">
        <v>1.625</v>
      </c>
      <c r="EI53" s="23" cm="1">
        <f t="array" ref="EI53">VLOOKUP(A53,'Opponent List'!$A1:$P137,16,FALSE)</f>
        <v>2.03024758037261</v>
      </c>
      <c r="EJ53" s="23">
        <v>3.65492759905113</v>
      </c>
    </row>
    <row r="54" ht="13.55" customHeight="1">
      <c r="A54" t="s" s="7">
        <v>90</v>
      </c>
      <c r="B54" s="22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-0.875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0.875</v>
      </c>
      <c r="BT54" s="23">
        <v>0</v>
      </c>
      <c r="BU54" s="23">
        <v>0</v>
      </c>
      <c r="BV54" s="23">
        <v>-1.125</v>
      </c>
      <c r="BW54" s="23">
        <v>0</v>
      </c>
      <c r="BX54" s="23">
        <v>0</v>
      </c>
      <c r="BY54" s="23">
        <v>0</v>
      </c>
      <c r="BZ54" s="23">
        <v>0</v>
      </c>
      <c r="CA54" s="23">
        <v>0</v>
      </c>
      <c r="CB54" s="23">
        <v>0</v>
      </c>
      <c r="CC54" s="23">
        <v>0</v>
      </c>
      <c r="CD54" s="23">
        <v>0</v>
      </c>
      <c r="CE54" s="23">
        <v>0</v>
      </c>
      <c r="CF54" s="23">
        <v>0</v>
      </c>
      <c r="CG54" s="23">
        <v>0</v>
      </c>
      <c r="CH54" s="23">
        <v>0</v>
      </c>
      <c r="CI54" s="23">
        <v>0.875</v>
      </c>
      <c r="CJ54" s="23">
        <v>0</v>
      </c>
      <c r="CK54" s="23">
        <v>0</v>
      </c>
      <c r="CL54" s="23">
        <v>0</v>
      </c>
      <c r="CM54" s="23">
        <v>0</v>
      </c>
      <c r="CN54" s="23">
        <v>0</v>
      </c>
      <c r="CO54" s="23">
        <v>0</v>
      </c>
      <c r="CP54" s="23">
        <v>0</v>
      </c>
      <c r="CQ54" s="23">
        <v>0</v>
      </c>
      <c r="CR54" s="23">
        <v>0</v>
      </c>
      <c r="CS54" s="23">
        <v>0</v>
      </c>
      <c r="CT54" s="23">
        <v>0</v>
      </c>
      <c r="CU54" s="23">
        <v>0</v>
      </c>
      <c r="CV54" s="23">
        <v>0</v>
      </c>
      <c r="CW54" s="23">
        <v>0</v>
      </c>
      <c r="CX54" s="23">
        <v>0</v>
      </c>
      <c r="CY54" s="23">
        <v>0</v>
      </c>
      <c r="CZ54" s="23">
        <v>0</v>
      </c>
      <c r="DA54" s="23">
        <v>0</v>
      </c>
      <c r="DB54" s="23">
        <v>0</v>
      </c>
      <c r="DC54" s="23">
        <v>0</v>
      </c>
      <c r="DD54" s="23">
        <v>0.875</v>
      </c>
      <c r="DE54" s="23">
        <v>0</v>
      </c>
      <c r="DF54" s="23">
        <v>0</v>
      </c>
      <c r="DG54" s="23">
        <v>0</v>
      </c>
      <c r="DH54" s="23">
        <v>0</v>
      </c>
      <c r="DI54" s="23">
        <v>0</v>
      </c>
      <c r="DJ54" s="23">
        <v>0</v>
      </c>
      <c r="DK54" s="23">
        <v>0</v>
      </c>
      <c r="DL54" s="23">
        <v>0</v>
      </c>
      <c r="DM54" s="23">
        <v>-1.125</v>
      </c>
      <c r="DN54" s="23">
        <v>0</v>
      </c>
      <c r="DO54" s="23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3">
        <v>0</v>
      </c>
      <c r="DW54" s="23">
        <v>0</v>
      </c>
      <c r="DX54" s="23">
        <v>0</v>
      </c>
      <c r="DY54" s="23">
        <v>0</v>
      </c>
      <c r="DZ54" s="23">
        <v>0</v>
      </c>
      <c r="EA54" s="23">
        <v>0</v>
      </c>
      <c r="EB54" s="23">
        <v>0</v>
      </c>
      <c r="EC54" s="23">
        <v>0</v>
      </c>
      <c r="ED54" s="23">
        <v>0</v>
      </c>
      <c r="EE54" s="23">
        <v>-0.875</v>
      </c>
      <c r="EF54" s="23">
        <v>0</v>
      </c>
      <c r="EG54" s="23">
        <v>0</v>
      </c>
      <c r="EH54" s="23">
        <v>-1.375</v>
      </c>
      <c r="EI54" s="23" cm="1">
        <f t="array" ref="EI54">VLOOKUP(A54,'Opponent List'!$A1:$P137,16,FALSE)</f>
        <v>-0.251124009837665</v>
      </c>
      <c r="EJ54" s="23">
        <v>-1.62598908807918</v>
      </c>
    </row>
    <row r="55" ht="13.55" customHeight="1">
      <c r="A55" t="s" s="7">
        <v>88</v>
      </c>
      <c r="B55" s="22">
        <v>0</v>
      </c>
      <c r="C55" s="23">
        <v>0</v>
      </c>
      <c r="D55" s="23">
        <v>-1.125</v>
      </c>
      <c r="E55" s="23">
        <v>0.875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0.875</v>
      </c>
      <c r="AB55" s="23">
        <v>0</v>
      </c>
      <c r="AC55" s="23">
        <v>0</v>
      </c>
      <c r="AD55" s="23">
        <v>1.125</v>
      </c>
      <c r="AE55" s="23">
        <v>0</v>
      </c>
      <c r="AF55" s="23">
        <v>0</v>
      </c>
      <c r="AG55" s="23">
        <v>-1.125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3">
        <v>0</v>
      </c>
      <c r="AY55" s="23">
        <v>0</v>
      </c>
      <c r="AZ55" s="23">
        <v>0</v>
      </c>
      <c r="BA55" s="23">
        <v>-1.125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-1.125</v>
      </c>
      <c r="BL55" s="23">
        <v>0</v>
      </c>
      <c r="BM55" s="23">
        <v>0</v>
      </c>
      <c r="BN55" s="23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23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3">
        <v>0</v>
      </c>
      <c r="CQ55" s="23">
        <v>0</v>
      </c>
      <c r="CR55" s="23">
        <v>0</v>
      </c>
      <c r="CS55" s="23">
        <v>0</v>
      </c>
      <c r="CT55" s="23">
        <v>0</v>
      </c>
      <c r="CU55" s="23">
        <v>0</v>
      </c>
      <c r="CV55" s="23">
        <v>0</v>
      </c>
      <c r="CW55" s="23">
        <v>0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0</v>
      </c>
      <c r="DD55" s="23">
        <v>0</v>
      </c>
      <c r="DE55" s="23">
        <v>0</v>
      </c>
      <c r="DF55" s="23">
        <v>0</v>
      </c>
      <c r="DG55" s="23">
        <v>0</v>
      </c>
      <c r="DH55" s="23">
        <v>0</v>
      </c>
      <c r="DI55" s="23">
        <v>0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0</v>
      </c>
      <c r="DP55" s="23">
        <v>0</v>
      </c>
      <c r="DQ55" s="23">
        <v>0</v>
      </c>
      <c r="DR55" s="23">
        <v>0</v>
      </c>
      <c r="DS55" s="23">
        <v>0</v>
      </c>
      <c r="DT55" s="23">
        <v>0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DZ55" s="23">
        <v>0</v>
      </c>
      <c r="EA55" s="23">
        <v>0</v>
      </c>
      <c r="EB55" s="23">
        <v>0</v>
      </c>
      <c r="EC55" s="23">
        <v>0</v>
      </c>
      <c r="ED55" s="23">
        <v>0</v>
      </c>
      <c r="EE55" s="23">
        <v>0</v>
      </c>
      <c r="EF55" s="23">
        <v>0</v>
      </c>
      <c r="EG55" s="23">
        <v>0</v>
      </c>
      <c r="EH55" s="23">
        <v>-1.625</v>
      </c>
      <c r="EI55" s="23" cm="1">
        <f t="array" ref="EI55">VLOOKUP(A55,'Opponent List'!$A1:$P137,16,FALSE)</f>
        <v>0.26525336435446</v>
      </c>
      <c r="EJ55" s="23">
        <v>-1.35956232001684</v>
      </c>
    </row>
    <row r="56" ht="13.55" customHeight="1">
      <c r="A56" t="s" s="7">
        <v>94</v>
      </c>
      <c r="B56" s="22">
        <v>-1.125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1.125</v>
      </c>
      <c r="R56" s="23">
        <v>0</v>
      </c>
      <c r="S56" s="23">
        <v>0</v>
      </c>
      <c r="T56" s="23">
        <v>0</v>
      </c>
      <c r="U56" s="23">
        <v>0</v>
      </c>
      <c r="V56" s="23">
        <v>-1.125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  <c r="BZ56" s="23">
        <v>0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-0.875</v>
      </c>
      <c r="CM56" s="23">
        <v>0</v>
      </c>
      <c r="CN56" s="23">
        <v>0</v>
      </c>
      <c r="CO56" s="23">
        <v>0</v>
      </c>
      <c r="CP56" s="23">
        <v>0</v>
      </c>
      <c r="CQ56" s="23">
        <v>0</v>
      </c>
      <c r="CR56" s="23">
        <v>0</v>
      </c>
      <c r="CS56" s="23">
        <v>0</v>
      </c>
      <c r="CT56" s="23">
        <v>0</v>
      </c>
      <c r="CU56" s="23">
        <v>0</v>
      </c>
      <c r="CV56" s="23">
        <v>0</v>
      </c>
      <c r="CW56" s="23">
        <v>0</v>
      </c>
      <c r="CX56" s="23">
        <v>0</v>
      </c>
      <c r="CY56" s="23">
        <v>0</v>
      </c>
      <c r="CZ56" s="23">
        <v>0</v>
      </c>
      <c r="DA56" s="23">
        <v>0</v>
      </c>
      <c r="DB56" s="23">
        <v>0</v>
      </c>
      <c r="DC56" s="23">
        <v>0</v>
      </c>
      <c r="DD56" s="23">
        <v>0</v>
      </c>
      <c r="DE56" s="23">
        <v>0</v>
      </c>
      <c r="DF56" s="23">
        <v>0</v>
      </c>
      <c r="DG56" s="23">
        <v>0</v>
      </c>
      <c r="DH56" s="23">
        <v>0.875</v>
      </c>
      <c r="DI56" s="23">
        <v>0</v>
      </c>
      <c r="DJ56" s="23">
        <v>0</v>
      </c>
      <c r="DK56" s="23">
        <v>0</v>
      </c>
      <c r="DL56" s="23">
        <v>0.875</v>
      </c>
      <c r="DM56" s="23">
        <v>0</v>
      </c>
      <c r="DN56" s="23">
        <v>0</v>
      </c>
      <c r="DO56" s="23">
        <v>0</v>
      </c>
      <c r="DP56" s="23">
        <v>0</v>
      </c>
      <c r="DQ56" s="23">
        <v>0</v>
      </c>
      <c r="DR56" s="23">
        <v>0</v>
      </c>
      <c r="DS56" s="23">
        <v>0</v>
      </c>
      <c r="DT56" s="23">
        <v>0</v>
      </c>
      <c r="DU56" s="23">
        <v>0</v>
      </c>
      <c r="DV56" s="23">
        <v>0</v>
      </c>
      <c r="DW56" s="23">
        <v>-0.875</v>
      </c>
      <c r="DX56" s="23">
        <v>0</v>
      </c>
      <c r="DY56" s="23">
        <v>0</v>
      </c>
      <c r="DZ56" s="23">
        <v>0</v>
      </c>
      <c r="EA56" s="23">
        <v>0</v>
      </c>
      <c r="EB56" s="23">
        <v>0</v>
      </c>
      <c r="EC56" s="23">
        <v>0</v>
      </c>
      <c r="ED56" s="23">
        <v>0</v>
      </c>
      <c r="EE56" s="23">
        <v>0</v>
      </c>
      <c r="EF56" s="23">
        <v>0</v>
      </c>
      <c r="EG56" s="23">
        <v>0</v>
      </c>
      <c r="EH56" s="23">
        <v>-1.125</v>
      </c>
      <c r="EI56" s="23" cm="1">
        <f t="array" ref="EI56">VLOOKUP(A56,'Opponent List'!$A1:$P137,16,FALSE)</f>
        <v>-0.787719007567116</v>
      </c>
      <c r="EJ56" s="23">
        <v>-1.91272420043442</v>
      </c>
    </row>
    <row r="57" ht="13.55" customHeight="1">
      <c r="A57" t="s" s="7">
        <v>24</v>
      </c>
      <c r="B57" s="22">
        <v>0</v>
      </c>
      <c r="C57" s="23">
        <v>0</v>
      </c>
      <c r="D57" s="23">
        <v>-0.875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0.875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1.125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3">
        <v>0</v>
      </c>
      <c r="CA57" s="23">
        <v>0</v>
      </c>
      <c r="CB57" s="23">
        <v>0</v>
      </c>
      <c r="CC57" s="23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0</v>
      </c>
      <c r="CR57" s="23">
        <v>0</v>
      </c>
      <c r="CS57" s="23">
        <v>0</v>
      </c>
      <c r="CT57" s="23">
        <v>0</v>
      </c>
      <c r="CU57" s="23">
        <v>0.875</v>
      </c>
      <c r="CV57" s="23">
        <v>0</v>
      </c>
      <c r="CW57" s="23">
        <v>0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0</v>
      </c>
      <c r="DD57" s="23">
        <v>0</v>
      </c>
      <c r="DE57" s="23">
        <v>0</v>
      </c>
      <c r="DF57" s="23">
        <v>0</v>
      </c>
      <c r="DG57" s="23">
        <v>0</v>
      </c>
      <c r="DH57" s="23">
        <v>0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0</v>
      </c>
      <c r="DR57" s="23">
        <v>0</v>
      </c>
      <c r="DS57" s="23">
        <v>0</v>
      </c>
      <c r="DT57" s="23">
        <v>0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DZ57" s="23">
        <v>0</v>
      </c>
      <c r="EA57" s="23">
        <v>0</v>
      </c>
      <c r="EB57" s="23">
        <v>0</v>
      </c>
      <c r="EC57" s="23">
        <v>0</v>
      </c>
      <c r="ED57" s="23">
        <v>1.125</v>
      </c>
      <c r="EE57" s="23">
        <v>0</v>
      </c>
      <c r="EF57" s="23">
        <v>0</v>
      </c>
      <c r="EG57" s="23">
        <v>0</v>
      </c>
      <c r="EH57" s="23">
        <v>3.125</v>
      </c>
      <c r="EI57" s="23" cm="1">
        <f t="array" ref="EI57">VLOOKUP(A57,'Opponent List'!$A1:$P137,16,FALSE)</f>
        <v>1.18611441658652</v>
      </c>
      <c r="EJ57" s="23">
        <v>4.31123264075225</v>
      </c>
    </row>
    <row r="58" ht="13.55" customHeight="1">
      <c r="A58" t="s" s="7">
        <v>84</v>
      </c>
      <c r="B58" s="22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0.875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0.875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-1.125</v>
      </c>
      <c r="BU58" s="23">
        <v>0</v>
      </c>
      <c r="BV58" s="23">
        <v>0</v>
      </c>
      <c r="BW58" s="23">
        <v>1.125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3">
        <v>0</v>
      </c>
      <c r="CQ58" s="23">
        <v>0</v>
      </c>
      <c r="CR58" s="23">
        <v>0</v>
      </c>
      <c r="CS58" s="23">
        <v>0</v>
      </c>
      <c r="CT58" s="23">
        <v>-0.875</v>
      </c>
      <c r="CU58" s="23">
        <v>0</v>
      </c>
      <c r="CV58" s="23">
        <v>0</v>
      </c>
      <c r="CW58" s="23">
        <v>0</v>
      </c>
      <c r="CX58" s="23">
        <v>0</v>
      </c>
      <c r="CY58" s="23">
        <v>0</v>
      </c>
      <c r="CZ58" s="23">
        <v>0</v>
      </c>
      <c r="DA58" s="23">
        <v>0</v>
      </c>
      <c r="DB58" s="23">
        <v>0</v>
      </c>
      <c r="DC58" s="23">
        <v>0</v>
      </c>
      <c r="DD58" s="23">
        <v>0</v>
      </c>
      <c r="DE58" s="23">
        <v>0</v>
      </c>
      <c r="DF58" s="23">
        <v>0</v>
      </c>
      <c r="DG58" s="23">
        <v>0</v>
      </c>
      <c r="DH58" s="23">
        <v>0</v>
      </c>
      <c r="DI58" s="23">
        <v>0</v>
      </c>
      <c r="DJ58" s="23">
        <v>-1.125</v>
      </c>
      <c r="DK58" s="23">
        <v>0</v>
      </c>
      <c r="DL58" s="23">
        <v>0</v>
      </c>
      <c r="DM58" s="23">
        <v>0</v>
      </c>
      <c r="DN58" s="23">
        <v>0</v>
      </c>
      <c r="DO58" s="23">
        <v>0</v>
      </c>
      <c r="DP58" s="23">
        <v>0</v>
      </c>
      <c r="DQ58" s="23">
        <v>0</v>
      </c>
      <c r="DR58" s="23">
        <v>-1.125</v>
      </c>
      <c r="DS58" s="23">
        <v>0</v>
      </c>
      <c r="DT58" s="23">
        <v>0</v>
      </c>
      <c r="DU58" s="23">
        <v>0</v>
      </c>
      <c r="DV58" s="23">
        <v>0</v>
      </c>
      <c r="DW58" s="23">
        <v>0</v>
      </c>
      <c r="DX58" s="23">
        <v>0</v>
      </c>
      <c r="DY58" s="23">
        <v>0</v>
      </c>
      <c r="DZ58" s="23">
        <v>0</v>
      </c>
      <c r="EA58" s="23">
        <v>0</v>
      </c>
      <c r="EB58" s="23">
        <v>0</v>
      </c>
      <c r="EC58" s="23">
        <v>0</v>
      </c>
      <c r="ED58" s="23">
        <v>0</v>
      </c>
      <c r="EE58" s="23">
        <v>0</v>
      </c>
      <c r="EF58" s="23">
        <v>0</v>
      </c>
      <c r="EG58" s="23">
        <v>0</v>
      </c>
      <c r="EH58" s="23">
        <v>-1.375</v>
      </c>
      <c r="EI58" s="23" cm="1">
        <f t="array" ref="EI58">VLOOKUP(A58,'Opponent List'!$A1:$P137,16,FALSE)</f>
        <v>0.329374914525173</v>
      </c>
      <c r="EJ58" s="23">
        <v>-1.04555922522911</v>
      </c>
    </row>
    <row r="59" ht="13.55" customHeight="1">
      <c r="A59" t="s" s="7">
        <v>65</v>
      </c>
      <c r="B59" s="22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-1.125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1.125</v>
      </c>
      <c r="X59" s="23">
        <v>0</v>
      </c>
      <c r="Y59" s="23">
        <v>0</v>
      </c>
      <c r="Z59" s="23">
        <v>1.125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0</v>
      </c>
      <c r="AX59" s="23">
        <v>0</v>
      </c>
      <c r="AY59" s="23">
        <v>1.125</v>
      </c>
      <c r="AZ59" s="23">
        <v>-1.125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v>0</v>
      </c>
      <c r="BQ59" s="23">
        <v>0.875</v>
      </c>
      <c r="BR59" s="23">
        <v>0</v>
      </c>
      <c r="BS59" s="23">
        <v>0</v>
      </c>
      <c r="BT59" s="23">
        <v>0</v>
      </c>
      <c r="BU59" s="23">
        <v>0</v>
      </c>
      <c r="BV59" s="23">
        <v>0</v>
      </c>
      <c r="BW59" s="23">
        <v>0</v>
      </c>
      <c r="BX59" s="23">
        <v>0</v>
      </c>
      <c r="BY59" s="23">
        <v>0</v>
      </c>
      <c r="BZ59" s="23">
        <v>0</v>
      </c>
      <c r="CA59" s="23">
        <v>0</v>
      </c>
      <c r="CB59" s="23">
        <v>0</v>
      </c>
      <c r="CC59" s="23">
        <v>0</v>
      </c>
      <c r="CD59" s="23">
        <v>0</v>
      </c>
      <c r="CE59" s="23">
        <v>0</v>
      </c>
      <c r="CF59" s="23">
        <v>0</v>
      </c>
      <c r="CG59" s="23">
        <v>0</v>
      </c>
      <c r="CH59" s="23">
        <v>0</v>
      </c>
      <c r="CI59" s="23">
        <v>0</v>
      </c>
      <c r="CJ59" s="23">
        <v>0</v>
      </c>
      <c r="CK59" s="23">
        <v>0</v>
      </c>
      <c r="CL59" s="23">
        <v>0</v>
      </c>
      <c r="CM59" s="23">
        <v>0</v>
      </c>
      <c r="CN59" s="23">
        <v>0</v>
      </c>
      <c r="CO59" s="23">
        <v>0</v>
      </c>
      <c r="CP59" s="23">
        <v>0</v>
      </c>
      <c r="CQ59" s="23">
        <v>0</v>
      </c>
      <c r="CR59" s="23">
        <v>0</v>
      </c>
      <c r="CS59" s="23">
        <v>0</v>
      </c>
      <c r="CT59" s="23">
        <v>0</v>
      </c>
      <c r="CU59" s="23">
        <v>0</v>
      </c>
      <c r="CV59" s="23">
        <v>0</v>
      </c>
      <c r="CW59" s="23">
        <v>0</v>
      </c>
      <c r="CX59" s="23">
        <v>0</v>
      </c>
      <c r="CY59" s="23">
        <v>0</v>
      </c>
      <c r="CZ59" s="23">
        <v>0</v>
      </c>
      <c r="DA59" s="23">
        <v>0</v>
      </c>
      <c r="DB59" s="23">
        <v>0</v>
      </c>
      <c r="DC59" s="23">
        <v>0</v>
      </c>
      <c r="DD59" s="23">
        <v>0</v>
      </c>
      <c r="DE59" s="23">
        <v>0</v>
      </c>
      <c r="DF59" s="23">
        <v>0</v>
      </c>
      <c r="DG59" s="23">
        <v>0</v>
      </c>
      <c r="DH59" s="23">
        <v>0</v>
      </c>
      <c r="DI59" s="23">
        <v>0</v>
      </c>
      <c r="DJ59" s="23">
        <v>0</v>
      </c>
      <c r="DK59" s="23">
        <v>0</v>
      </c>
      <c r="DL59" s="23">
        <v>0</v>
      </c>
      <c r="DM59" s="23">
        <v>0</v>
      </c>
      <c r="DN59" s="23">
        <v>0</v>
      </c>
      <c r="DO59" s="23">
        <v>0</v>
      </c>
      <c r="DP59" s="23">
        <v>0</v>
      </c>
      <c r="DQ59" s="23">
        <v>0</v>
      </c>
      <c r="DR59" s="23">
        <v>0</v>
      </c>
      <c r="DS59" s="23">
        <v>0</v>
      </c>
      <c r="DT59" s="23">
        <v>0</v>
      </c>
      <c r="DU59" s="23">
        <v>0</v>
      </c>
      <c r="DV59" s="23">
        <v>0</v>
      </c>
      <c r="DW59" s="23">
        <v>-1.125</v>
      </c>
      <c r="DX59" s="23">
        <v>0</v>
      </c>
      <c r="DY59" s="23">
        <v>0</v>
      </c>
      <c r="DZ59" s="23">
        <v>0</v>
      </c>
      <c r="EA59" s="23">
        <v>0</v>
      </c>
      <c r="EB59" s="23">
        <v>0</v>
      </c>
      <c r="EC59" s="23">
        <v>0</v>
      </c>
      <c r="ED59" s="23">
        <v>0</v>
      </c>
      <c r="EE59" s="23">
        <v>0</v>
      </c>
      <c r="EF59" s="23">
        <v>0</v>
      </c>
      <c r="EG59" s="23">
        <v>0</v>
      </c>
      <c r="EH59" s="23">
        <v>0.875</v>
      </c>
      <c r="EI59" s="23" cm="1">
        <f t="array" ref="EI59">VLOOKUP(A59,'Opponent List'!$A1:$P137,16,FALSE)</f>
        <v>-0.350918364286694</v>
      </c>
      <c r="EJ59" s="23">
        <v>0.5243959583097469</v>
      </c>
    </row>
    <row r="60" ht="13.55" customHeight="1">
      <c r="A60" t="s" s="7">
        <v>55</v>
      </c>
      <c r="B60" s="22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0.875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-0.875</v>
      </c>
      <c r="AX60" s="23">
        <v>0</v>
      </c>
      <c r="AY60" s="23">
        <v>0</v>
      </c>
      <c r="AZ60" s="23">
        <v>0</v>
      </c>
      <c r="BA60" s="23">
        <v>0</v>
      </c>
      <c r="BB60" s="23">
        <v>0</v>
      </c>
      <c r="BC60" s="23">
        <v>0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1.125</v>
      </c>
      <c r="BT60" s="23">
        <v>0</v>
      </c>
      <c r="BU60" s="23">
        <v>0</v>
      </c>
      <c r="BV60" s="23">
        <v>0</v>
      </c>
      <c r="BW60" s="23">
        <v>0</v>
      </c>
      <c r="BX60" s="23">
        <v>0</v>
      </c>
      <c r="BY60" s="23">
        <v>0</v>
      </c>
      <c r="BZ60" s="23">
        <v>0</v>
      </c>
      <c r="CA60" s="23">
        <v>0</v>
      </c>
      <c r="CB60" s="23">
        <v>0</v>
      </c>
      <c r="CC60" s="23">
        <v>0</v>
      </c>
      <c r="CD60" s="23">
        <v>0</v>
      </c>
      <c r="CE60" s="23">
        <v>0</v>
      </c>
      <c r="CF60" s="23">
        <v>0</v>
      </c>
      <c r="CG60" s="23">
        <v>0</v>
      </c>
      <c r="CH60" s="23">
        <v>0</v>
      </c>
      <c r="CI60" s="23">
        <v>0</v>
      </c>
      <c r="CJ60" s="23">
        <v>0</v>
      </c>
      <c r="CK60" s="23">
        <v>0</v>
      </c>
      <c r="CL60" s="23">
        <v>0</v>
      </c>
      <c r="CM60" s="23">
        <v>0</v>
      </c>
      <c r="CN60" s="23">
        <v>0</v>
      </c>
      <c r="CO60" s="23">
        <v>0</v>
      </c>
      <c r="CP60" s="23">
        <v>0</v>
      </c>
      <c r="CQ60" s="23">
        <v>0</v>
      </c>
      <c r="CR60" s="23">
        <v>0</v>
      </c>
      <c r="CS60" s="23">
        <v>0</v>
      </c>
      <c r="CT60" s="23">
        <v>0</v>
      </c>
      <c r="CU60" s="23">
        <v>0</v>
      </c>
      <c r="CV60" s="23">
        <v>0</v>
      </c>
      <c r="CW60" s="23">
        <v>0</v>
      </c>
      <c r="CX60" s="23">
        <v>0</v>
      </c>
      <c r="CY60" s="23">
        <v>0</v>
      </c>
      <c r="CZ60" s="23">
        <v>0</v>
      </c>
      <c r="DA60" s="23">
        <v>0</v>
      </c>
      <c r="DB60" s="23">
        <v>0</v>
      </c>
      <c r="DC60" s="23">
        <v>0</v>
      </c>
      <c r="DD60" s="23">
        <v>0</v>
      </c>
      <c r="DE60" s="23">
        <v>0</v>
      </c>
      <c r="DF60" s="23">
        <v>0</v>
      </c>
      <c r="DG60" s="23">
        <v>0</v>
      </c>
      <c r="DH60" s="23">
        <v>0</v>
      </c>
      <c r="DI60" s="23">
        <v>0</v>
      </c>
      <c r="DJ60" s="23">
        <v>0</v>
      </c>
      <c r="DK60" s="23">
        <v>1.125</v>
      </c>
      <c r="DL60" s="23">
        <v>0</v>
      </c>
      <c r="DM60" s="23">
        <v>0</v>
      </c>
      <c r="DN60" s="23">
        <v>0</v>
      </c>
      <c r="DO60" s="23">
        <v>0</v>
      </c>
      <c r="DP60" s="23">
        <v>0</v>
      </c>
      <c r="DQ60" s="23">
        <v>1.125</v>
      </c>
      <c r="DR60" s="23">
        <v>0</v>
      </c>
      <c r="DS60" s="23">
        <v>0</v>
      </c>
      <c r="DT60" s="23">
        <v>0</v>
      </c>
      <c r="DU60" s="23">
        <v>0</v>
      </c>
      <c r="DV60" s="23">
        <v>-1.125</v>
      </c>
      <c r="DW60" s="23">
        <v>0</v>
      </c>
      <c r="DX60" s="23">
        <v>0</v>
      </c>
      <c r="DY60" s="23">
        <v>0</v>
      </c>
      <c r="DZ60" s="23">
        <v>0</v>
      </c>
      <c r="EA60" s="23">
        <v>0</v>
      </c>
      <c r="EB60" s="23">
        <v>0</v>
      </c>
      <c r="EC60" s="23">
        <v>0</v>
      </c>
      <c r="ED60" s="23">
        <v>0</v>
      </c>
      <c r="EE60" s="23">
        <v>-1.125</v>
      </c>
      <c r="EF60" s="23">
        <v>0</v>
      </c>
      <c r="EG60" s="23">
        <v>0</v>
      </c>
      <c r="EH60" s="23">
        <v>1.125</v>
      </c>
      <c r="EI60" s="23" cm="1">
        <f t="array" ref="EI60">VLOOKUP(A60,'Opponent List'!$A1:$P137,16,FALSE)</f>
        <v>0.494694068737523</v>
      </c>
      <c r="EJ60" s="23">
        <v>1.61968253185873</v>
      </c>
    </row>
    <row r="61" ht="13.55" customHeight="1">
      <c r="A61" t="s" s="7">
        <v>87</v>
      </c>
      <c r="B61" s="22">
        <v>0</v>
      </c>
      <c r="C61" s="23">
        <v>-0.875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1.125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3">
        <v>0</v>
      </c>
      <c r="BD61" s="23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-0.875</v>
      </c>
      <c r="BP61" s="23">
        <v>0</v>
      </c>
      <c r="BQ61" s="23">
        <v>0</v>
      </c>
      <c r="BR61" s="23">
        <v>0</v>
      </c>
      <c r="BS61" s="23">
        <v>0</v>
      </c>
      <c r="BT61" s="23">
        <v>0</v>
      </c>
      <c r="BU61" s="23">
        <v>0</v>
      </c>
      <c r="BV61" s="23">
        <v>0</v>
      </c>
      <c r="BW61" s="23">
        <v>0</v>
      </c>
      <c r="BX61" s="23">
        <v>0</v>
      </c>
      <c r="BY61" s="23">
        <v>0</v>
      </c>
      <c r="BZ61" s="23">
        <v>0</v>
      </c>
      <c r="CA61" s="23">
        <v>0</v>
      </c>
      <c r="CB61" s="23">
        <v>0</v>
      </c>
      <c r="CC61" s="23">
        <v>0</v>
      </c>
      <c r="CD61" s="23">
        <v>0</v>
      </c>
      <c r="CE61" s="23">
        <v>0</v>
      </c>
      <c r="CF61" s="23">
        <v>0</v>
      </c>
      <c r="CG61" s="23">
        <v>0</v>
      </c>
      <c r="CH61" s="23">
        <v>0</v>
      </c>
      <c r="CI61" s="23">
        <v>0</v>
      </c>
      <c r="CJ61" s="23">
        <v>0</v>
      </c>
      <c r="CK61" s="23">
        <v>0</v>
      </c>
      <c r="CL61" s="23">
        <v>0</v>
      </c>
      <c r="CM61" s="23">
        <v>0</v>
      </c>
      <c r="CN61" s="23">
        <v>0</v>
      </c>
      <c r="CO61" s="23">
        <v>0</v>
      </c>
      <c r="CP61" s="23">
        <v>-0.875</v>
      </c>
      <c r="CQ61" s="23">
        <v>0</v>
      </c>
      <c r="CR61" s="23">
        <v>0</v>
      </c>
      <c r="CS61" s="23">
        <v>0</v>
      </c>
      <c r="CT61" s="23">
        <v>0</v>
      </c>
      <c r="CU61" s="23">
        <v>0</v>
      </c>
      <c r="CV61" s="23">
        <v>0</v>
      </c>
      <c r="CW61" s="23">
        <v>0</v>
      </c>
      <c r="CX61" s="23">
        <v>0</v>
      </c>
      <c r="CY61" s="23">
        <v>1.125</v>
      </c>
      <c r="CZ61" s="23">
        <v>0</v>
      </c>
      <c r="DA61" s="23">
        <v>0</v>
      </c>
      <c r="DB61" s="23">
        <v>0</v>
      </c>
      <c r="DC61" s="23">
        <v>0</v>
      </c>
      <c r="DD61" s="23">
        <v>0</v>
      </c>
      <c r="DE61" s="23">
        <v>0</v>
      </c>
      <c r="DF61" s="23">
        <v>0</v>
      </c>
      <c r="DG61" s="23">
        <v>1.125</v>
      </c>
      <c r="DH61" s="23">
        <v>0</v>
      </c>
      <c r="DI61" s="23">
        <v>0</v>
      </c>
      <c r="DJ61" s="23">
        <v>0</v>
      </c>
      <c r="DK61" s="23">
        <v>0</v>
      </c>
      <c r="DL61" s="23">
        <v>0</v>
      </c>
      <c r="DM61" s="23">
        <v>0</v>
      </c>
      <c r="DN61" s="23">
        <v>0</v>
      </c>
      <c r="DO61" s="23">
        <v>0</v>
      </c>
      <c r="DP61" s="23">
        <v>0</v>
      </c>
      <c r="DQ61" s="23">
        <v>0</v>
      </c>
      <c r="DR61" s="23">
        <v>0</v>
      </c>
      <c r="DS61" s="23">
        <v>0</v>
      </c>
      <c r="DT61" s="23">
        <v>0</v>
      </c>
      <c r="DU61" s="23">
        <v>0</v>
      </c>
      <c r="DV61" s="23">
        <v>0</v>
      </c>
      <c r="DW61" s="23">
        <v>0</v>
      </c>
      <c r="DX61" s="23">
        <v>0</v>
      </c>
      <c r="DY61" s="23">
        <v>0</v>
      </c>
      <c r="DZ61" s="23">
        <v>-0.875</v>
      </c>
      <c r="EA61" s="23">
        <v>0</v>
      </c>
      <c r="EB61" s="23">
        <v>0</v>
      </c>
      <c r="EC61" s="23">
        <v>0</v>
      </c>
      <c r="ED61" s="23">
        <v>0</v>
      </c>
      <c r="EE61" s="23">
        <v>0</v>
      </c>
      <c r="EF61" s="23">
        <v>0</v>
      </c>
      <c r="EG61" s="23">
        <v>0</v>
      </c>
      <c r="EH61" s="23">
        <v>-0.125</v>
      </c>
      <c r="EI61" s="23" cm="1">
        <f t="array" ref="EI61">VLOOKUP(A61,'Opponent List'!$A1:$P137,16,FALSE)</f>
        <v>-1.08375031041187</v>
      </c>
      <c r="EJ61" s="23">
        <v>-1.20871388306861</v>
      </c>
    </row>
    <row r="62" ht="13.55" customHeight="1">
      <c r="A62" t="s" s="7">
        <v>18</v>
      </c>
      <c r="B62" s="22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1.125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0.875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0.875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1.125</v>
      </c>
      <c r="AW62" s="23">
        <v>0</v>
      </c>
      <c r="AX62" s="23">
        <v>0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v>0</v>
      </c>
      <c r="BQ62" s="23">
        <v>0</v>
      </c>
      <c r="BR62" s="23">
        <v>0</v>
      </c>
      <c r="BS62" s="23">
        <v>0</v>
      </c>
      <c r="BT62" s="23">
        <v>0</v>
      </c>
      <c r="BU62" s="23">
        <v>0</v>
      </c>
      <c r="BV62" s="23">
        <v>0</v>
      </c>
      <c r="BW62" s="23">
        <v>0</v>
      </c>
      <c r="BX62" s="23">
        <v>0</v>
      </c>
      <c r="BY62" s="23">
        <v>0</v>
      </c>
      <c r="BZ62" s="23">
        <v>0</v>
      </c>
      <c r="CA62" s="23">
        <v>0</v>
      </c>
      <c r="CB62" s="23">
        <v>0</v>
      </c>
      <c r="CC62" s="23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0</v>
      </c>
      <c r="CR62" s="23">
        <v>0</v>
      </c>
      <c r="CS62" s="23">
        <v>0</v>
      </c>
      <c r="CT62" s="23">
        <v>0</v>
      </c>
      <c r="CU62" s="23">
        <v>0</v>
      </c>
      <c r="CV62" s="23">
        <v>0</v>
      </c>
      <c r="CW62" s="23">
        <v>0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0</v>
      </c>
      <c r="DD62" s="23">
        <v>0</v>
      </c>
      <c r="DE62" s="23">
        <v>0</v>
      </c>
      <c r="DF62" s="23">
        <v>0</v>
      </c>
      <c r="DG62" s="23">
        <v>0</v>
      </c>
      <c r="DH62" s="23">
        <v>2</v>
      </c>
      <c r="DI62" s="23">
        <v>0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0</v>
      </c>
      <c r="DP62" s="23">
        <v>0</v>
      </c>
      <c r="DQ62" s="23">
        <v>0</v>
      </c>
      <c r="DR62" s="23">
        <v>0</v>
      </c>
      <c r="DS62" s="23">
        <v>0</v>
      </c>
      <c r="DT62" s="23">
        <v>1.125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DZ62" s="23">
        <v>0</v>
      </c>
      <c r="EA62" s="23">
        <v>0</v>
      </c>
      <c r="EB62" s="23">
        <v>0</v>
      </c>
      <c r="EC62" s="23">
        <v>0</v>
      </c>
      <c r="ED62" s="23">
        <v>0</v>
      </c>
      <c r="EE62" s="23">
        <v>0</v>
      </c>
      <c r="EF62" s="23">
        <v>0</v>
      </c>
      <c r="EG62" s="23">
        <v>0</v>
      </c>
      <c r="EH62" s="23">
        <v>7.125</v>
      </c>
      <c r="EI62" s="23" cm="1">
        <f t="array" ref="EI62">VLOOKUP(A62,'Opponent List'!$A1:$P137,16,FALSE)</f>
        <v>-2.03291613179754</v>
      </c>
      <c r="EJ62" s="23">
        <v>5.0922019441117</v>
      </c>
    </row>
    <row r="63" ht="13.55" customHeight="1">
      <c r="A63" t="s" s="7">
        <v>80</v>
      </c>
      <c r="B63" s="22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-0.875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0</v>
      </c>
      <c r="AX63" s="23">
        <v>0</v>
      </c>
      <c r="AY63" s="23">
        <v>0</v>
      </c>
      <c r="AZ63" s="23">
        <v>0</v>
      </c>
      <c r="BA63" s="23">
        <v>0</v>
      </c>
      <c r="BB63" s="23">
        <v>0</v>
      </c>
      <c r="BC63" s="23">
        <v>1.125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v>0</v>
      </c>
      <c r="BQ63" s="23">
        <v>0</v>
      </c>
      <c r="BR63" s="23">
        <v>0</v>
      </c>
      <c r="BS63" s="23">
        <v>0</v>
      </c>
      <c r="BT63" s="23">
        <v>0</v>
      </c>
      <c r="BU63" s="23">
        <v>0</v>
      </c>
      <c r="BV63" s="23">
        <v>0</v>
      </c>
      <c r="BW63" s="23">
        <v>0</v>
      </c>
      <c r="BX63" s="23">
        <v>1.125</v>
      </c>
      <c r="BY63" s="23">
        <v>0</v>
      </c>
      <c r="BZ63" s="23">
        <v>0</v>
      </c>
      <c r="CA63" s="23">
        <v>0</v>
      </c>
      <c r="CB63" s="23">
        <v>0</v>
      </c>
      <c r="CC63" s="23">
        <v>0</v>
      </c>
      <c r="CD63" s="23">
        <v>0</v>
      </c>
      <c r="CE63" s="23">
        <v>0</v>
      </c>
      <c r="CF63" s="23">
        <v>0</v>
      </c>
      <c r="CG63" s="23">
        <v>0</v>
      </c>
      <c r="CH63" s="23">
        <v>0</v>
      </c>
      <c r="CI63" s="23">
        <v>0</v>
      </c>
      <c r="CJ63" s="23">
        <v>0</v>
      </c>
      <c r="CK63" s="23">
        <v>0</v>
      </c>
      <c r="CL63" s="23">
        <v>0</v>
      </c>
      <c r="CM63" s="23">
        <v>0</v>
      </c>
      <c r="CN63" s="23">
        <v>0</v>
      </c>
      <c r="CO63" s="23">
        <v>0</v>
      </c>
      <c r="CP63" s="23">
        <v>0</v>
      </c>
      <c r="CQ63" s="23">
        <v>0</v>
      </c>
      <c r="CR63" s="23">
        <v>0</v>
      </c>
      <c r="CS63" s="23">
        <v>0.875</v>
      </c>
      <c r="CT63" s="23">
        <v>0</v>
      </c>
      <c r="CU63" s="23">
        <v>0</v>
      </c>
      <c r="CV63" s="23">
        <v>0</v>
      </c>
      <c r="CW63" s="23">
        <v>0</v>
      </c>
      <c r="CX63" s="23">
        <v>-0.875</v>
      </c>
      <c r="CY63" s="23">
        <v>0</v>
      </c>
      <c r="CZ63" s="23">
        <v>0</v>
      </c>
      <c r="DA63" s="23">
        <v>0</v>
      </c>
      <c r="DB63" s="23">
        <v>0</v>
      </c>
      <c r="DC63" s="23">
        <v>0</v>
      </c>
      <c r="DD63" s="23">
        <v>0</v>
      </c>
      <c r="DE63" s="23">
        <v>0</v>
      </c>
      <c r="DF63" s="23">
        <v>0</v>
      </c>
      <c r="DG63" s="23">
        <v>0</v>
      </c>
      <c r="DH63" s="23">
        <v>0</v>
      </c>
      <c r="DI63" s="23">
        <v>0</v>
      </c>
      <c r="DJ63" s="23">
        <v>0</v>
      </c>
      <c r="DK63" s="23">
        <v>0</v>
      </c>
      <c r="DL63" s="23">
        <v>0</v>
      </c>
      <c r="DM63" s="23">
        <v>0</v>
      </c>
      <c r="DN63" s="23">
        <v>0</v>
      </c>
      <c r="DO63" s="23">
        <v>0</v>
      </c>
      <c r="DP63" s="23">
        <v>0</v>
      </c>
      <c r="DQ63" s="23">
        <v>0</v>
      </c>
      <c r="DR63" s="23">
        <v>0</v>
      </c>
      <c r="DS63" s="23">
        <v>0</v>
      </c>
      <c r="DT63" s="23">
        <v>0</v>
      </c>
      <c r="DU63" s="23">
        <v>0</v>
      </c>
      <c r="DV63" s="23">
        <v>0</v>
      </c>
      <c r="DW63" s="23">
        <v>0</v>
      </c>
      <c r="DX63" s="23">
        <v>0</v>
      </c>
      <c r="DY63" s="23">
        <v>0</v>
      </c>
      <c r="DZ63" s="23">
        <v>-0.875</v>
      </c>
      <c r="EA63" s="23">
        <v>0</v>
      </c>
      <c r="EB63" s="23">
        <v>0</v>
      </c>
      <c r="EC63" s="23">
        <v>1.125</v>
      </c>
      <c r="ED63" s="23">
        <v>0</v>
      </c>
      <c r="EE63" s="23">
        <v>0</v>
      </c>
      <c r="EF63" s="23">
        <v>0</v>
      </c>
      <c r="EG63" s="23">
        <v>0</v>
      </c>
      <c r="EH63" s="23">
        <v>1.625</v>
      </c>
      <c r="EI63" s="23" cm="1">
        <f t="array" ref="EI63">VLOOKUP(A63,'Opponent List'!$A1:$P137,16,FALSE)</f>
        <v>-2.47285154758237</v>
      </c>
      <c r="EJ63" s="23">
        <v>-0.84768132374283</v>
      </c>
    </row>
    <row r="64" ht="13.55" customHeight="1">
      <c r="A64" t="s" s="7">
        <v>28</v>
      </c>
      <c r="B64" s="22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0.875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-0.875</v>
      </c>
      <c r="AS64" s="23">
        <v>0</v>
      </c>
      <c r="AT64" s="23">
        <v>0.875</v>
      </c>
      <c r="AU64" s="23">
        <v>0</v>
      </c>
      <c r="AV64" s="23">
        <v>0</v>
      </c>
      <c r="AW64" s="23">
        <v>0</v>
      </c>
      <c r="AX64" s="23">
        <v>0</v>
      </c>
      <c r="AY64" s="23">
        <v>0</v>
      </c>
      <c r="AZ64" s="23">
        <v>0</v>
      </c>
      <c r="BA64" s="23">
        <v>0</v>
      </c>
      <c r="BB64" s="23">
        <v>0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0</v>
      </c>
      <c r="BZ64" s="23">
        <v>0</v>
      </c>
      <c r="CA64" s="23">
        <v>0</v>
      </c>
      <c r="CB64" s="23">
        <v>0</v>
      </c>
      <c r="CC64" s="23">
        <v>0</v>
      </c>
      <c r="CD64" s="23">
        <v>0</v>
      </c>
      <c r="CE64" s="23">
        <v>1.125</v>
      </c>
      <c r="CF64" s="23">
        <v>0</v>
      </c>
      <c r="CG64" s="23">
        <v>0</v>
      </c>
      <c r="CH64" s="23">
        <v>0</v>
      </c>
      <c r="CI64" s="23">
        <v>0</v>
      </c>
      <c r="CJ64" s="23">
        <v>0</v>
      </c>
      <c r="CK64" s="23">
        <v>0</v>
      </c>
      <c r="CL64" s="23">
        <v>0</v>
      </c>
      <c r="CM64" s="23">
        <v>0</v>
      </c>
      <c r="CN64" s="23">
        <v>0</v>
      </c>
      <c r="CO64" s="23">
        <v>0.875</v>
      </c>
      <c r="CP64" s="23">
        <v>0</v>
      </c>
      <c r="CQ64" s="23">
        <v>0</v>
      </c>
      <c r="CR64" s="23">
        <v>0</v>
      </c>
      <c r="CS64" s="23">
        <v>0</v>
      </c>
      <c r="CT64" s="23">
        <v>0</v>
      </c>
      <c r="CU64" s="23">
        <v>0</v>
      </c>
      <c r="CV64" s="23">
        <v>0</v>
      </c>
      <c r="CW64" s="23">
        <v>0</v>
      </c>
      <c r="CX64" s="23">
        <v>0</v>
      </c>
      <c r="CY64" s="23">
        <v>0</v>
      </c>
      <c r="CZ64" s="23">
        <v>0</v>
      </c>
      <c r="DA64" s="23">
        <v>0</v>
      </c>
      <c r="DB64" s="23">
        <v>0</v>
      </c>
      <c r="DC64" s="23">
        <v>0</v>
      </c>
      <c r="DD64" s="23">
        <v>0</v>
      </c>
      <c r="DE64" s="23">
        <v>0</v>
      </c>
      <c r="DF64" s="23">
        <v>0</v>
      </c>
      <c r="DG64" s="23">
        <v>0</v>
      </c>
      <c r="DH64" s="23">
        <v>0</v>
      </c>
      <c r="DI64" s="23">
        <v>0</v>
      </c>
      <c r="DJ64" s="23">
        <v>0</v>
      </c>
      <c r="DK64" s="23">
        <v>0</v>
      </c>
      <c r="DL64" s="23">
        <v>0.875</v>
      </c>
      <c r="DM64" s="23">
        <v>0</v>
      </c>
      <c r="DN64" s="23">
        <v>0</v>
      </c>
      <c r="DO64" s="23">
        <v>0</v>
      </c>
      <c r="DP64" s="23">
        <v>0</v>
      </c>
      <c r="DQ64" s="23">
        <v>0</v>
      </c>
      <c r="DR64" s="23">
        <v>0</v>
      </c>
      <c r="DS64" s="23">
        <v>0</v>
      </c>
      <c r="DT64" s="23">
        <v>0</v>
      </c>
      <c r="DU64" s="23">
        <v>0</v>
      </c>
      <c r="DV64" s="23">
        <v>0</v>
      </c>
      <c r="DW64" s="23">
        <v>0</v>
      </c>
      <c r="DX64" s="23">
        <v>0</v>
      </c>
      <c r="DY64" s="23">
        <v>0</v>
      </c>
      <c r="DZ64" s="23">
        <v>0</v>
      </c>
      <c r="EA64" s="23">
        <v>0.875</v>
      </c>
      <c r="EB64" s="23">
        <v>0</v>
      </c>
      <c r="EC64" s="23">
        <v>0</v>
      </c>
      <c r="ED64" s="23">
        <v>0</v>
      </c>
      <c r="EE64" s="23">
        <v>0</v>
      </c>
      <c r="EF64" s="23">
        <v>0</v>
      </c>
      <c r="EG64" s="23">
        <v>0</v>
      </c>
      <c r="EH64" s="23">
        <v>4.625</v>
      </c>
      <c r="EI64" s="23" cm="1">
        <f t="array" ref="EI64">VLOOKUP(A64,'Opponent List'!$A1:$P137,16,FALSE)</f>
        <v>-0.6823049441267171</v>
      </c>
      <c r="EJ64" s="23">
        <v>3.94267847649009</v>
      </c>
    </row>
    <row r="65" ht="13.55" customHeight="1">
      <c r="A65" t="s" s="7">
        <v>138</v>
      </c>
      <c r="B65" s="22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-0.875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-0.875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-0.875</v>
      </c>
      <c r="AU65" s="23">
        <v>0</v>
      </c>
      <c r="AV65" s="23">
        <v>0</v>
      </c>
      <c r="AW65" s="23">
        <v>0</v>
      </c>
      <c r="AX65" s="23">
        <v>0</v>
      </c>
      <c r="AY65" s="23">
        <v>0</v>
      </c>
      <c r="AZ65" s="23">
        <v>0</v>
      </c>
      <c r="BA65" s="23">
        <v>0</v>
      </c>
      <c r="BB65" s="23">
        <v>0</v>
      </c>
      <c r="BC65" s="23">
        <v>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v>0</v>
      </c>
      <c r="BQ65" s="23">
        <v>0</v>
      </c>
      <c r="BR65" s="23">
        <v>0</v>
      </c>
      <c r="BS65" s="23">
        <v>0</v>
      </c>
      <c r="BT65" s="23">
        <v>0</v>
      </c>
      <c r="BU65" s="23">
        <v>0</v>
      </c>
      <c r="BV65" s="23">
        <v>0</v>
      </c>
      <c r="BW65" s="23">
        <v>0</v>
      </c>
      <c r="BX65" s="23">
        <v>0</v>
      </c>
      <c r="BY65" s="23">
        <v>0</v>
      </c>
      <c r="BZ65" s="23">
        <v>0</v>
      </c>
      <c r="CA65" s="23">
        <v>0</v>
      </c>
      <c r="CB65" s="23">
        <v>0</v>
      </c>
      <c r="CC65" s="23">
        <v>0</v>
      </c>
      <c r="CD65" s="23">
        <v>0</v>
      </c>
      <c r="CE65" s="23">
        <v>0</v>
      </c>
      <c r="CF65" s="23">
        <v>0</v>
      </c>
      <c r="CG65" s="23">
        <v>0</v>
      </c>
      <c r="CH65" s="23">
        <v>0</v>
      </c>
      <c r="CI65" s="23">
        <v>0</v>
      </c>
      <c r="CJ65" s="23">
        <v>0</v>
      </c>
      <c r="CK65" s="23">
        <v>0</v>
      </c>
      <c r="CL65" s="23">
        <v>0</v>
      </c>
      <c r="CM65" s="23">
        <v>-1.125</v>
      </c>
      <c r="CN65" s="23">
        <v>0</v>
      </c>
      <c r="CO65" s="23">
        <v>0</v>
      </c>
      <c r="CP65" s="23">
        <v>0</v>
      </c>
      <c r="CQ65" s="23">
        <v>0</v>
      </c>
      <c r="CR65" s="23">
        <v>0</v>
      </c>
      <c r="CS65" s="23">
        <v>0</v>
      </c>
      <c r="CT65" s="23">
        <v>0</v>
      </c>
      <c r="CU65" s="23">
        <v>0</v>
      </c>
      <c r="CV65" s="23">
        <v>0</v>
      </c>
      <c r="CW65" s="23">
        <v>0</v>
      </c>
      <c r="CX65" s="23">
        <v>0</v>
      </c>
      <c r="CY65" s="23">
        <v>0</v>
      </c>
      <c r="CZ65" s="23">
        <v>0</v>
      </c>
      <c r="DA65" s="23">
        <v>0</v>
      </c>
      <c r="DB65" s="23">
        <v>0</v>
      </c>
      <c r="DC65" s="23">
        <v>0</v>
      </c>
      <c r="DD65" s="23">
        <v>0</v>
      </c>
      <c r="DE65" s="23">
        <v>-1.125</v>
      </c>
      <c r="DF65" s="23">
        <v>0</v>
      </c>
      <c r="DG65" s="23">
        <v>0</v>
      </c>
      <c r="DH65" s="23">
        <v>-0.875</v>
      </c>
      <c r="DI65" s="23">
        <v>0</v>
      </c>
      <c r="DJ65" s="23">
        <v>0</v>
      </c>
      <c r="DK65" s="23">
        <v>0</v>
      </c>
      <c r="DL65" s="23">
        <v>0</v>
      </c>
      <c r="DM65" s="23">
        <v>0</v>
      </c>
      <c r="DN65" s="23">
        <v>0</v>
      </c>
      <c r="DO65" s="23">
        <v>0</v>
      </c>
      <c r="DP65" s="23">
        <v>0</v>
      </c>
      <c r="DQ65" s="23">
        <v>0</v>
      </c>
      <c r="DR65" s="23">
        <v>0</v>
      </c>
      <c r="DS65" s="23">
        <v>-0.875</v>
      </c>
      <c r="DT65" s="23">
        <v>0</v>
      </c>
      <c r="DU65" s="23">
        <v>0</v>
      </c>
      <c r="DV65" s="23">
        <v>0</v>
      </c>
      <c r="DW65" s="23">
        <v>0</v>
      </c>
      <c r="DX65" s="23">
        <v>0</v>
      </c>
      <c r="DY65" s="23">
        <v>0</v>
      </c>
      <c r="DZ65" s="23">
        <v>0</v>
      </c>
      <c r="EA65" s="23">
        <v>0</v>
      </c>
      <c r="EB65" s="23">
        <v>0</v>
      </c>
      <c r="EC65" s="23">
        <v>0</v>
      </c>
      <c r="ED65" s="23">
        <v>0</v>
      </c>
      <c r="EE65" s="23">
        <v>0</v>
      </c>
      <c r="EF65" s="23">
        <v>0</v>
      </c>
      <c r="EG65" s="23">
        <v>0</v>
      </c>
      <c r="EH65" s="23">
        <v>-6.625</v>
      </c>
      <c r="EI65" s="23" cm="1">
        <f t="array" ref="EI65">VLOOKUP(A65,'Opponent List'!$A1:$P137,16,FALSE)</f>
        <v>-0.802725019547989</v>
      </c>
      <c r="EJ65" s="23">
        <v>-7.42780318353212</v>
      </c>
    </row>
    <row r="66" ht="13.55" customHeight="1">
      <c r="A66" t="s" s="7">
        <v>81</v>
      </c>
      <c r="B66" s="22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0.875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0.875</v>
      </c>
      <c r="Y66" s="23">
        <v>1.125</v>
      </c>
      <c r="Z66" s="23">
        <v>0</v>
      </c>
      <c r="AA66" s="23">
        <v>0</v>
      </c>
      <c r="AB66" s="23">
        <v>-2.25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v>0</v>
      </c>
      <c r="BQ66" s="23">
        <v>0</v>
      </c>
      <c r="BR66" s="23">
        <v>0</v>
      </c>
      <c r="BS66" s="23">
        <v>0</v>
      </c>
      <c r="BT66" s="23">
        <v>0</v>
      </c>
      <c r="BU66" s="23">
        <v>0</v>
      </c>
      <c r="BV66" s="23">
        <v>0</v>
      </c>
      <c r="BW66" s="23">
        <v>0</v>
      </c>
      <c r="BX66" s="23">
        <v>0</v>
      </c>
      <c r="BY66" s="23">
        <v>0</v>
      </c>
      <c r="BZ66" s="23">
        <v>0</v>
      </c>
      <c r="CA66" s="23">
        <v>0</v>
      </c>
      <c r="CB66" s="23">
        <v>0</v>
      </c>
      <c r="CC66" s="23">
        <v>0</v>
      </c>
      <c r="CD66" s="23">
        <v>0</v>
      </c>
      <c r="CE66" s="23">
        <v>0</v>
      </c>
      <c r="CF66" s="23">
        <v>0</v>
      </c>
      <c r="CG66" s="23">
        <v>0</v>
      </c>
      <c r="CH66" s="23">
        <v>0</v>
      </c>
      <c r="CI66" s="23">
        <v>0</v>
      </c>
      <c r="CJ66" s="23">
        <v>0</v>
      </c>
      <c r="CK66" s="23">
        <v>0</v>
      </c>
      <c r="CL66" s="23">
        <v>0</v>
      </c>
      <c r="CM66" s="23">
        <v>0</v>
      </c>
      <c r="CN66" s="23">
        <v>0</v>
      </c>
      <c r="CO66" s="23">
        <v>0.875</v>
      </c>
      <c r="CP66" s="23">
        <v>0</v>
      </c>
      <c r="CQ66" s="23">
        <v>0</v>
      </c>
      <c r="CR66" s="23">
        <v>0</v>
      </c>
      <c r="CS66" s="23">
        <v>0</v>
      </c>
      <c r="CT66" s="23">
        <v>0</v>
      </c>
      <c r="CU66" s="23">
        <v>0</v>
      </c>
      <c r="CV66" s="23">
        <v>0</v>
      </c>
      <c r="CW66" s="23">
        <v>0</v>
      </c>
      <c r="CX66" s="23">
        <v>0</v>
      </c>
      <c r="CY66" s="23">
        <v>0</v>
      </c>
      <c r="CZ66" s="23">
        <v>0</v>
      </c>
      <c r="DA66" s="23">
        <v>0</v>
      </c>
      <c r="DB66" s="23">
        <v>0</v>
      </c>
      <c r="DC66" s="23">
        <v>0</v>
      </c>
      <c r="DD66" s="23">
        <v>0</v>
      </c>
      <c r="DE66" s="23">
        <v>0</v>
      </c>
      <c r="DF66" s="23">
        <v>0</v>
      </c>
      <c r="DG66" s="23">
        <v>0</v>
      </c>
      <c r="DH66" s="23">
        <v>0</v>
      </c>
      <c r="DI66" s="23">
        <v>0</v>
      </c>
      <c r="DJ66" s="23">
        <v>0</v>
      </c>
      <c r="DK66" s="23">
        <v>0</v>
      </c>
      <c r="DL66" s="23">
        <v>0</v>
      </c>
      <c r="DM66" s="23">
        <v>0</v>
      </c>
      <c r="DN66" s="23">
        <v>0</v>
      </c>
      <c r="DO66" s="23">
        <v>0</v>
      </c>
      <c r="DP66" s="23">
        <v>0</v>
      </c>
      <c r="DQ66" s="23">
        <v>0</v>
      </c>
      <c r="DR66" s="23">
        <v>0</v>
      </c>
      <c r="DS66" s="23">
        <v>0</v>
      </c>
      <c r="DT66" s="23">
        <v>-1.125</v>
      </c>
      <c r="DU66" s="23">
        <v>0</v>
      </c>
      <c r="DV66" s="23">
        <v>0</v>
      </c>
      <c r="DW66" s="23">
        <v>0</v>
      </c>
      <c r="DX66" s="23">
        <v>0</v>
      </c>
      <c r="DY66" s="23">
        <v>0</v>
      </c>
      <c r="DZ66" s="23">
        <v>0</v>
      </c>
      <c r="EA66" s="23">
        <v>0</v>
      </c>
      <c r="EB66" s="23">
        <v>0</v>
      </c>
      <c r="EC66" s="23">
        <v>0</v>
      </c>
      <c r="ED66" s="23">
        <v>0</v>
      </c>
      <c r="EE66" s="23">
        <v>0</v>
      </c>
      <c r="EF66" s="23">
        <v>0</v>
      </c>
      <c r="EG66" s="23">
        <v>0</v>
      </c>
      <c r="EH66" s="23">
        <v>0.375</v>
      </c>
      <c r="EI66" s="23" cm="1">
        <f t="array" ref="EI66">VLOOKUP(A66,'Opponent List'!$A1:$P137,16,FALSE)</f>
        <v>-1.25661575363688</v>
      </c>
      <c r="EJ66" s="23">
        <v>-0.88177362772117</v>
      </c>
    </row>
    <row r="67" ht="13.55" customHeight="1">
      <c r="A67" t="s" s="7">
        <v>34</v>
      </c>
      <c r="B67" s="22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0.875</v>
      </c>
      <c r="Q67" s="23">
        <v>0</v>
      </c>
      <c r="R67" s="23">
        <v>0</v>
      </c>
      <c r="S67" s="23">
        <v>0</v>
      </c>
      <c r="T67" s="23">
        <v>0</v>
      </c>
      <c r="U67" s="23">
        <v>0.875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1.125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0.875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3">
        <v>0</v>
      </c>
      <c r="AY67" s="23">
        <v>0</v>
      </c>
      <c r="AZ67" s="23">
        <v>0</v>
      </c>
      <c r="BA67" s="23">
        <v>0</v>
      </c>
      <c r="BB67" s="23">
        <v>0</v>
      </c>
      <c r="BC67" s="23">
        <v>0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0.875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0</v>
      </c>
      <c r="BT67" s="23">
        <v>0</v>
      </c>
      <c r="BU67" s="23">
        <v>0</v>
      </c>
      <c r="BV67" s="23">
        <v>0</v>
      </c>
      <c r="BW67" s="23">
        <v>0</v>
      </c>
      <c r="BX67" s="23">
        <v>0</v>
      </c>
      <c r="BY67" s="23">
        <v>0</v>
      </c>
      <c r="BZ67" s="23">
        <v>0</v>
      </c>
      <c r="CA67" s="23">
        <v>0</v>
      </c>
      <c r="CB67" s="23">
        <v>0</v>
      </c>
      <c r="CC67" s="23">
        <v>0</v>
      </c>
      <c r="CD67" s="23">
        <v>0</v>
      </c>
      <c r="CE67" s="23">
        <v>0</v>
      </c>
      <c r="CF67" s="23">
        <v>0</v>
      </c>
      <c r="CG67" s="23">
        <v>0</v>
      </c>
      <c r="CH67" s="23">
        <v>0</v>
      </c>
      <c r="CI67" s="23">
        <v>0</v>
      </c>
      <c r="CJ67" s="23">
        <v>0</v>
      </c>
      <c r="CK67" s="23">
        <v>0</v>
      </c>
      <c r="CL67" s="23">
        <v>0</v>
      </c>
      <c r="CM67" s="23">
        <v>0</v>
      </c>
      <c r="CN67" s="23">
        <v>0</v>
      </c>
      <c r="CO67" s="23">
        <v>0</v>
      </c>
      <c r="CP67" s="23">
        <v>0</v>
      </c>
      <c r="CQ67" s="23">
        <v>0</v>
      </c>
      <c r="CR67" s="23">
        <v>0</v>
      </c>
      <c r="CS67" s="23">
        <v>0</v>
      </c>
      <c r="CT67" s="23">
        <v>0</v>
      </c>
      <c r="CU67" s="23">
        <v>0</v>
      </c>
      <c r="CV67" s="23">
        <v>0</v>
      </c>
      <c r="CW67" s="23">
        <v>0</v>
      </c>
      <c r="CX67" s="23">
        <v>0</v>
      </c>
      <c r="CY67" s="23">
        <v>0</v>
      </c>
      <c r="CZ67" s="23">
        <v>0</v>
      </c>
      <c r="DA67" s="23">
        <v>0</v>
      </c>
      <c r="DB67" s="23">
        <v>0</v>
      </c>
      <c r="DC67" s="23">
        <v>0</v>
      </c>
      <c r="DD67" s="23">
        <v>0</v>
      </c>
      <c r="DE67" s="23">
        <v>0</v>
      </c>
      <c r="DF67" s="23">
        <v>0</v>
      </c>
      <c r="DG67" s="23">
        <v>0</v>
      </c>
      <c r="DH67" s="23">
        <v>0</v>
      </c>
      <c r="DI67" s="23">
        <v>0</v>
      </c>
      <c r="DJ67" s="23">
        <v>0</v>
      </c>
      <c r="DK67" s="23">
        <v>0.875</v>
      </c>
      <c r="DL67" s="23">
        <v>0</v>
      </c>
      <c r="DM67" s="23">
        <v>0</v>
      </c>
      <c r="DN67" s="23">
        <v>0</v>
      </c>
      <c r="DO67" s="23">
        <v>0</v>
      </c>
      <c r="DP67" s="23">
        <v>0</v>
      </c>
      <c r="DQ67" s="23">
        <v>0</v>
      </c>
      <c r="DR67" s="23">
        <v>0</v>
      </c>
      <c r="DS67" s="23">
        <v>0</v>
      </c>
      <c r="DT67" s="23">
        <v>0</v>
      </c>
      <c r="DU67" s="23">
        <v>0</v>
      </c>
      <c r="DV67" s="23">
        <v>0</v>
      </c>
      <c r="DW67" s="23">
        <v>0</v>
      </c>
      <c r="DX67" s="23">
        <v>0</v>
      </c>
      <c r="DY67" s="23">
        <v>-1.125</v>
      </c>
      <c r="DZ67" s="23">
        <v>0</v>
      </c>
      <c r="EA67" s="23">
        <v>0</v>
      </c>
      <c r="EB67" s="23">
        <v>0</v>
      </c>
      <c r="EC67" s="23">
        <v>0</v>
      </c>
      <c r="ED67" s="23">
        <v>0</v>
      </c>
      <c r="EE67" s="23">
        <v>0</v>
      </c>
      <c r="EF67" s="23">
        <v>0</v>
      </c>
      <c r="EG67" s="23">
        <v>0</v>
      </c>
      <c r="EH67" s="23">
        <v>4.375</v>
      </c>
      <c r="EI67" s="23" cm="1">
        <f t="array" ref="EI67">VLOOKUP(A67,'Opponent List'!$A1:$P137,16,FALSE)</f>
        <v>-0.914198183183221</v>
      </c>
      <c r="EJ67" s="23">
        <v>3.46082209671099</v>
      </c>
    </row>
    <row r="68" ht="13.55" customHeight="1">
      <c r="A68" t="s" s="7">
        <v>14</v>
      </c>
      <c r="B68" s="22">
        <v>0</v>
      </c>
      <c r="C68" s="23">
        <v>0</v>
      </c>
      <c r="D68" s="23">
        <v>0</v>
      </c>
      <c r="E68" s="23">
        <v>0</v>
      </c>
      <c r="F68" s="23">
        <v>1.125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-0.875</v>
      </c>
      <c r="AX68" s="23">
        <v>0</v>
      </c>
      <c r="AY68" s="23">
        <v>0</v>
      </c>
      <c r="AZ68" s="23">
        <v>1.125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v>0</v>
      </c>
      <c r="BQ68" s="23">
        <v>0</v>
      </c>
      <c r="BR68" s="23">
        <v>0</v>
      </c>
      <c r="BS68" s="23">
        <v>0</v>
      </c>
      <c r="BT68" s="23">
        <v>0</v>
      </c>
      <c r="BU68" s="23">
        <v>0</v>
      </c>
      <c r="BV68" s="23">
        <v>0</v>
      </c>
      <c r="BW68" s="23">
        <v>0</v>
      </c>
      <c r="BX68" s="23">
        <v>0</v>
      </c>
      <c r="BY68" s="23">
        <v>0</v>
      </c>
      <c r="BZ68" s="23">
        <v>0</v>
      </c>
      <c r="CA68" s="23">
        <v>0</v>
      </c>
      <c r="CB68" s="23">
        <v>0</v>
      </c>
      <c r="CC68" s="23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0.875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0</v>
      </c>
      <c r="CR68" s="23">
        <v>0</v>
      </c>
      <c r="CS68" s="23">
        <v>0</v>
      </c>
      <c r="CT68" s="23">
        <v>0</v>
      </c>
      <c r="CU68" s="23">
        <v>0</v>
      </c>
      <c r="CV68" s="23">
        <v>0</v>
      </c>
      <c r="CW68" s="23">
        <v>0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0</v>
      </c>
      <c r="DD68" s="23">
        <v>0.875</v>
      </c>
      <c r="DE68" s="23">
        <v>0</v>
      </c>
      <c r="DF68" s="23">
        <v>0</v>
      </c>
      <c r="DG68" s="23">
        <v>0</v>
      </c>
      <c r="DH68" s="23">
        <v>0</v>
      </c>
      <c r="DI68" s="23">
        <v>0</v>
      </c>
      <c r="DJ68" s="23">
        <v>0</v>
      </c>
      <c r="DK68" s="23">
        <v>0</v>
      </c>
      <c r="DL68" s="23">
        <v>0</v>
      </c>
      <c r="DM68" s="23">
        <v>0</v>
      </c>
      <c r="DN68" s="23">
        <v>1.125</v>
      </c>
      <c r="DO68" s="23">
        <v>0</v>
      </c>
      <c r="DP68" s="23">
        <v>0</v>
      </c>
      <c r="DQ68" s="23">
        <v>0</v>
      </c>
      <c r="DR68" s="23">
        <v>0</v>
      </c>
      <c r="DS68" s="23">
        <v>0</v>
      </c>
      <c r="DT68" s="23">
        <v>0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DZ68" s="23">
        <v>0</v>
      </c>
      <c r="EA68" s="23">
        <v>0</v>
      </c>
      <c r="EB68" s="23">
        <v>0</v>
      </c>
      <c r="EC68" s="23">
        <v>0</v>
      </c>
      <c r="ED68" s="23">
        <v>0</v>
      </c>
      <c r="EE68" s="23">
        <v>0</v>
      </c>
      <c r="EF68" s="23">
        <v>-1.125</v>
      </c>
      <c r="EG68" s="23">
        <v>0</v>
      </c>
      <c r="EH68" s="23">
        <v>3.125</v>
      </c>
      <c r="EI68" s="23" cm="1">
        <f t="array" ref="EI68">VLOOKUP(A68,'Opponent List'!$A1:$P137,16,FALSE)</f>
        <v>2.38867638202214</v>
      </c>
      <c r="EJ68" s="23">
        <v>5.51360480483848</v>
      </c>
    </row>
    <row r="69" ht="13.55" customHeight="1">
      <c r="A69" t="s" s="7">
        <v>109</v>
      </c>
      <c r="B69" s="22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-0.875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3">
        <v>0</v>
      </c>
      <c r="AU69" s="23">
        <v>1.125</v>
      </c>
      <c r="AV69" s="23">
        <v>0</v>
      </c>
      <c r="AW69" s="23">
        <v>-1.125</v>
      </c>
      <c r="AX69" s="23">
        <v>0</v>
      </c>
      <c r="AY69" s="23">
        <v>0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-0.875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v>0</v>
      </c>
      <c r="BQ69" s="23">
        <v>0</v>
      </c>
      <c r="BR69" s="23">
        <v>0</v>
      </c>
      <c r="BS69" s="23">
        <v>0</v>
      </c>
      <c r="BT69" s="23">
        <v>0</v>
      </c>
      <c r="BU69" s="23">
        <v>0</v>
      </c>
      <c r="BV69" s="23">
        <v>0</v>
      </c>
      <c r="BW69" s="23">
        <v>0</v>
      </c>
      <c r="BX69" s="23">
        <v>0</v>
      </c>
      <c r="BY69" s="23">
        <v>0</v>
      </c>
      <c r="BZ69" s="23">
        <v>0</v>
      </c>
      <c r="CA69" s="23">
        <v>0</v>
      </c>
      <c r="CB69" s="23">
        <v>0</v>
      </c>
      <c r="CC69" s="23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3">
        <v>0</v>
      </c>
      <c r="CQ69" s="23">
        <v>-0.875</v>
      </c>
      <c r="CR69" s="23">
        <v>0</v>
      </c>
      <c r="CS69" s="23">
        <v>0</v>
      </c>
      <c r="CT69" s="23">
        <v>0</v>
      </c>
      <c r="CU69" s="23">
        <v>0</v>
      </c>
      <c r="CV69" s="23">
        <v>0</v>
      </c>
      <c r="CW69" s="23">
        <v>0</v>
      </c>
      <c r="CX69" s="23">
        <v>0</v>
      </c>
      <c r="CY69" s="23">
        <v>0</v>
      </c>
      <c r="CZ69" s="23">
        <v>0</v>
      </c>
      <c r="DA69" s="23">
        <v>0</v>
      </c>
      <c r="DB69" s="23">
        <v>-1.125</v>
      </c>
      <c r="DC69" s="23">
        <v>0</v>
      </c>
      <c r="DD69" s="23">
        <v>0</v>
      </c>
      <c r="DE69" s="23">
        <v>-1.125</v>
      </c>
      <c r="DF69" s="23">
        <v>0</v>
      </c>
      <c r="DG69" s="23">
        <v>0</v>
      </c>
      <c r="DH69" s="23">
        <v>0</v>
      </c>
      <c r="DI69" s="23">
        <v>0</v>
      </c>
      <c r="DJ69" s="23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0</v>
      </c>
      <c r="DP69" s="23">
        <v>0</v>
      </c>
      <c r="DQ69" s="23">
        <v>0</v>
      </c>
      <c r="DR69" s="23">
        <v>0</v>
      </c>
      <c r="DS69" s="23">
        <v>0</v>
      </c>
      <c r="DT69" s="23">
        <v>0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DZ69" s="23">
        <v>0</v>
      </c>
      <c r="EA69" s="23">
        <v>0</v>
      </c>
      <c r="EB69" s="23">
        <v>0</v>
      </c>
      <c r="EC69" s="23">
        <v>0</v>
      </c>
      <c r="ED69" s="23">
        <v>0</v>
      </c>
      <c r="EE69" s="23">
        <v>0</v>
      </c>
      <c r="EF69" s="23">
        <v>0</v>
      </c>
      <c r="EG69" s="23">
        <v>0</v>
      </c>
      <c r="EH69" s="23">
        <v>-4.875</v>
      </c>
      <c r="EI69" s="23" cm="1">
        <f t="array" ref="EI69">VLOOKUP(A69,'Opponent List'!$A1:$P137,16,FALSE)</f>
        <v>1.70427677109047</v>
      </c>
      <c r="EJ69" s="23">
        <v>-3.17082421974611</v>
      </c>
    </row>
    <row r="70" ht="13.55" customHeight="1">
      <c r="A70" t="s" s="7">
        <v>26</v>
      </c>
      <c r="B70" s="22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0.875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1.125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1.125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1.125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v>0</v>
      </c>
      <c r="BQ70" s="23">
        <v>0</v>
      </c>
      <c r="BR70" s="23">
        <v>0</v>
      </c>
      <c r="BS70" s="23">
        <v>0</v>
      </c>
      <c r="BT70" s="23">
        <v>0</v>
      </c>
      <c r="BU70" s="23">
        <v>0</v>
      </c>
      <c r="BV70" s="23">
        <v>0</v>
      </c>
      <c r="BW70" s="23">
        <v>0</v>
      </c>
      <c r="BX70" s="23">
        <v>0</v>
      </c>
      <c r="BY70" s="23">
        <v>0</v>
      </c>
      <c r="BZ70" s="23">
        <v>0</v>
      </c>
      <c r="CA70" s="23">
        <v>0</v>
      </c>
      <c r="CB70" s="23">
        <v>0</v>
      </c>
      <c r="CC70" s="23">
        <v>0</v>
      </c>
      <c r="CD70" s="23">
        <v>-0.875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0</v>
      </c>
      <c r="CR70" s="23">
        <v>0</v>
      </c>
      <c r="CS70" s="23">
        <v>0</v>
      </c>
      <c r="CT70" s="23">
        <v>0</v>
      </c>
      <c r="CU70" s="23">
        <v>1.125</v>
      </c>
      <c r="CV70" s="23">
        <v>0</v>
      </c>
      <c r="CW70" s="23">
        <v>0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0</v>
      </c>
      <c r="DD70" s="23">
        <v>0</v>
      </c>
      <c r="DE70" s="23">
        <v>0</v>
      </c>
      <c r="DF70" s="23">
        <v>0</v>
      </c>
      <c r="DG70" s="23">
        <v>0</v>
      </c>
      <c r="DH70" s="23">
        <v>0</v>
      </c>
      <c r="DI70" s="23">
        <v>0</v>
      </c>
      <c r="DJ70" s="23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0</v>
      </c>
      <c r="DP70" s="23">
        <v>0.875</v>
      </c>
      <c r="DQ70" s="23">
        <v>0</v>
      </c>
      <c r="DR70" s="23">
        <v>0</v>
      </c>
      <c r="DS70" s="23">
        <v>0</v>
      </c>
      <c r="DT70" s="23">
        <v>0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DZ70" s="23">
        <v>0</v>
      </c>
      <c r="EA70" s="23">
        <v>0</v>
      </c>
      <c r="EB70" s="23">
        <v>0</v>
      </c>
      <c r="EC70" s="23">
        <v>0</v>
      </c>
      <c r="ED70" s="23">
        <v>0</v>
      </c>
      <c r="EE70" s="23">
        <v>0</v>
      </c>
      <c r="EF70" s="23">
        <v>0</v>
      </c>
      <c r="EG70" s="23">
        <v>0</v>
      </c>
      <c r="EH70" s="23">
        <v>5.375</v>
      </c>
      <c r="EI70" s="23" cm="1">
        <f t="array" ref="EI70">VLOOKUP(A70,'Opponent List'!$A1:$P137,16,FALSE)</f>
        <v>-1.36069154130532</v>
      </c>
      <c r="EJ70" s="23">
        <v>4.01425721966897</v>
      </c>
    </row>
    <row r="71" ht="13.55" customHeight="1">
      <c r="A71" t="s" s="7">
        <v>124</v>
      </c>
      <c r="B71" s="22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-1.125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3">
        <v>0</v>
      </c>
      <c r="AY71" s="23">
        <v>0</v>
      </c>
      <c r="AZ71" s="23">
        <v>0</v>
      </c>
      <c r="BA71" s="23">
        <v>0</v>
      </c>
      <c r="BB71" s="23">
        <v>-0.875</v>
      </c>
      <c r="BC71" s="23">
        <v>0</v>
      </c>
      <c r="BD71" s="23">
        <v>0</v>
      </c>
      <c r="BE71" s="23">
        <v>0</v>
      </c>
      <c r="BF71" s="23">
        <v>0</v>
      </c>
      <c r="BG71" s="23">
        <v>0</v>
      </c>
      <c r="BH71" s="23">
        <v>-1.125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v>0</v>
      </c>
      <c r="BQ71" s="23">
        <v>0</v>
      </c>
      <c r="BR71" s="23">
        <v>0</v>
      </c>
      <c r="BS71" s="23">
        <v>0</v>
      </c>
      <c r="BT71" s="23">
        <v>0</v>
      </c>
      <c r="BU71" s="23">
        <v>0</v>
      </c>
      <c r="BV71" s="23">
        <v>0</v>
      </c>
      <c r="BW71" s="23">
        <v>0</v>
      </c>
      <c r="BX71" s="23">
        <v>0</v>
      </c>
      <c r="BY71" s="23">
        <v>0</v>
      </c>
      <c r="BZ71" s="23">
        <v>0</v>
      </c>
      <c r="CA71" s="23">
        <v>0</v>
      </c>
      <c r="CB71" s="23">
        <v>0</v>
      </c>
      <c r="CC71" s="23">
        <v>0</v>
      </c>
      <c r="CD71" s="23">
        <v>0</v>
      </c>
      <c r="CE71" s="23">
        <v>0</v>
      </c>
      <c r="CF71" s="23">
        <v>0</v>
      </c>
      <c r="CG71" s="23">
        <v>0</v>
      </c>
      <c r="CH71" s="23">
        <v>0</v>
      </c>
      <c r="CI71" s="23">
        <v>0</v>
      </c>
      <c r="CJ71" s="23">
        <v>-0.875</v>
      </c>
      <c r="CK71" s="23">
        <v>0</v>
      </c>
      <c r="CL71" s="23">
        <v>0</v>
      </c>
      <c r="CM71" s="23">
        <v>0</v>
      </c>
      <c r="CN71" s="23">
        <v>0</v>
      </c>
      <c r="CO71" s="23">
        <v>0</v>
      </c>
      <c r="CP71" s="23">
        <v>0</v>
      </c>
      <c r="CQ71" s="23">
        <v>0</v>
      </c>
      <c r="CR71" s="23">
        <v>0</v>
      </c>
      <c r="CS71" s="23">
        <v>0</v>
      </c>
      <c r="CT71" s="23">
        <v>0</v>
      </c>
      <c r="CU71" s="23">
        <v>0</v>
      </c>
      <c r="CV71" s="23">
        <v>0</v>
      </c>
      <c r="CW71" s="23">
        <v>0</v>
      </c>
      <c r="CX71" s="23">
        <v>0</v>
      </c>
      <c r="CY71" s="23">
        <v>0</v>
      </c>
      <c r="CZ71" s="23">
        <v>0</v>
      </c>
      <c r="DA71" s="23">
        <v>0</v>
      </c>
      <c r="DB71" s="23">
        <v>0</v>
      </c>
      <c r="DC71" s="23">
        <v>0</v>
      </c>
      <c r="DD71" s="23">
        <v>0</v>
      </c>
      <c r="DE71" s="23">
        <v>0</v>
      </c>
      <c r="DF71" s="23">
        <v>0</v>
      </c>
      <c r="DG71" s="23">
        <v>0</v>
      </c>
      <c r="DH71" s="23">
        <v>0</v>
      </c>
      <c r="DI71" s="23">
        <v>0</v>
      </c>
      <c r="DJ71" s="23">
        <v>0</v>
      </c>
      <c r="DK71" s="23">
        <v>0</v>
      </c>
      <c r="DL71" s="23">
        <v>0</v>
      </c>
      <c r="DM71" s="23">
        <v>0</v>
      </c>
      <c r="DN71" s="23">
        <v>0</v>
      </c>
      <c r="DO71" s="23">
        <v>0</v>
      </c>
      <c r="DP71" s="23">
        <v>0</v>
      </c>
      <c r="DQ71" s="23">
        <v>0</v>
      </c>
      <c r="DR71" s="23">
        <v>0</v>
      </c>
      <c r="DS71" s="23">
        <v>0</v>
      </c>
      <c r="DT71" s="23">
        <v>0</v>
      </c>
      <c r="DU71" s="23">
        <v>0</v>
      </c>
      <c r="DV71" s="23">
        <v>-1.125</v>
      </c>
      <c r="DW71" s="23">
        <v>0</v>
      </c>
      <c r="DX71" s="23">
        <v>-0.875</v>
      </c>
      <c r="DY71" s="23">
        <v>0</v>
      </c>
      <c r="DZ71" s="23">
        <v>0</v>
      </c>
      <c r="EA71" s="23">
        <v>0</v>
      </c>
      <c r="EB71" s="23">
        <v>0</v>
      </c>
      <c r="EC71" s="23">
        <v>0</v>
      </c>
      <c r="ED71" s="23">
        <v>-0.875</v>
      </c>
      <c r="EE71" s="23">
        <v>0</v>
      </c>
      <c r="EF71" s="23">
        <v>0</v>
      </c>
      <c r="EG71" s="23">
        <v>0</v>
      </c>
      <c r="EH71" s="23">
        <v>-6.875</v>
      </c>
      <c r="EI71" s="23" cm="1">
        <f t="array" ref="EI71">VLOOKUP(A71,'Opponent List'!$A1:$P137,16,FALSE)</f>
        <v>2.52795804849368</v>
      </c>
      <c r="EJ71" s="23">
        <v>-4.3473535064778</v>
      </c>
    </row>
    <row r="72" ht="13.55" customHeight="1">
      <c r="A72" t="s" s="7">
        <v>36</v>
      </c>
      <c r="B72" s="22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1.125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3">
        <v>0</v>
      </c>
      <c r="AW72" s="23">
        <v>0</v>
      </c>
      <c r="AX72" s="23">
        <v>0</v>
      </c>
      <c r="AY72" s="23">
        <v>0</v>
      </c>
      <c r="AZ72" s="23">
        <v>0</v>
      </c>
      <c r="BA72" s="23">
        <v>0</v>
      </c>
      <c r="BB72" s="23">
        <v>0</v>
      </c>
      <c r="BC72" s="23">
        <v>0</v>
      </c>
      <c r="BD72" s="23">
        <v>0</v>
      </c>
      <c r="BE72" s="23">
        <v>0</v>
      </c>
      <c r="BF72" s="23">
        <v>1.125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0</v>
      </c>
      <c r="BT72" s="23">
        <v>0</v>
      </c>
      <c r="BU72" s="23">
        <v>0</v>
      </c>
      <c r="BV72" s="23">
        <v>0</v>
      </c>
      <c r="BW72" s="23">
        <v>0</v>
      </c>
      <c r="BX72" s="23">
        <v>0</v>
      </c>
      <c r="BY72" s="23">
        <v>0</v>
      </c>
      <c r="BZ72" s="23">
        <v>0</v>
      </c>
      <c r="CA72" s="23">
        <v>0</v>
      </c>
      <c r="CB72" s="23">
        <v>0</v>
      </c>
      <c r="CC72" s="23">
        <v>0</v>
      </c>
      <c r="CD72" s="23">
        <v>0</v>
      </c>
      <c r="CE72" s="23">
        <v>-0.875</v>
      </c>
      <c r="CF72" s="23">
        <v>0</v>
      </c>
      <c r="CG72" s="23">
        <v>0</v>
      </c>
      <c r="CH72" s="23">
        <v>1.125</v>
      </c>
      <c r="CI72" s="23">
        <v>0.875</v>
      </c>
      <c r="CJ72" s="23">
        <v>0</v>
      </c>
      <c r="CK72" s="23">
        <v>0</v>
      </c>
      <c r="CL72" s="23">
        <v>0</v>
      </c>
      <c r="CM72" s="23">
        <v>0</v>
      </c>
      <c r="CN72" s="23">
        <v>0</v>
      </c>
      <c r="CO72" s="23">
        <v>0</v>
      </c>
      <c r="CP72" s="23">
        <v>0</v>
      </c>
      <c r="CQ72" s="23">
        <v>0</v>
      </c>
      <c r="CR72" s="23">
        <v>0</v>
      </c>
      <c r="CS72" s="23">
        <v>1.125</v>
      </c>
      <c r="CT72" s="23">
        <v>0</v>
      </c>
      <c r="CU72" s="23">
        <v>0</v>
      </c>
      <c r="CV72" s="23">
        <v>0</v>
      </c>
      <c r="CW72" s="23">
        <v>0</v>
      </c>
      <c r="CX72" s="23">
        <v>0</v>
      </c>
      <c r="CY72" s="23">
        <v>0</v>
      </c>
      <c r="CZ72" s="23">
        <v>0</v>
      </c>
      <c r="DA72" s="23">
        <v>1.125</v>
      </c>
      <c r="DB72" s="23">
        <v>0</v>
      </c>
      <c r="DC72" s="23">
        <v>0</v>
      </c>
      <c r="DD72" s="23">
        <v>0</v>
      </c>
      <c r="DE72" s="23">
        <v>0</v>
      </c>
      <c r="DF72" s="23">
        <v>0</v>
      </c>
      <c r="DG72" s="23">
        <v>0</v>
      </c>
      <c r="DH72" s="23">
        <v>0</v>
      </c>
      <c r="DI72" s="23">
        <v>0</v>
      </c>
      <c r="DJ72" s="23">
        <v>0</v>
      </c>
      <c r="DK72" s="23">
        <v>0</v>
      </c>
      <c r="DL72" s="23">
        <v>0</v>
      </c>
      <c r="DM72" s="23">
        <v>0</v>
      </c>
      <c r="DN72" s="23">
        <v>0</v>
      </c>
      <c r="DO72" s="23">
        <v>0</v>
      </c>
      <c r="DP72" s="23">
        <v>0</v>
      </c>
      <c r="DQ72" s="23">
        <v>0</v>
      </c>
      <c r="DR72" s="23">
        <v>0</v>
      </c>
      <c r="DS72" s="23">
        <v>0</v>
      </c>
      <c r="DT72" s="23">
        <v>0</v>
      </c>
      <c r="DU72" s="23">
        <v>0</v>
      </c>
      <c r="DV72" s="23">
        <v>0</v>
      </c>
      <c r="DW72" s="23">
        <v>0</v>
      </c>
      <c r="DX72" s="23">
        <v>0</v>
      </c>
      <c r="DY72" s="23">
        <v>0</v>
      </c>
      <c r="DZ72" s="23">
        <v>0</v>
      </c>
      <c r="EA72" s="23">
        <v>0</v>
      </c>
      <c r="EB72" s="23">
        <v>0</v>
      </c>
      <c r="EC72" s="23">
        <v>0</v>
      </c>
      <c r="ED72" s="23">
        <v>0</v>
      </c>
      <c r="EE72" s="23">
        <v>0</v>
      </c>
      <c r="EF72" s="23">
        <v>0</v>
      </c>
      <c r="EG72" s="23">
        <v>0</v>
      </c>
      <c r="EH72" s="23">
        <v>5.625</v>
      </c>
      <c r="EI72" s="23" cm="1">
        <f t="array" ref="EI72">VLOOKUP(A72,'Opponent List'!$A1:$P137,16,FALSE)</f>
        <v>-2.36406686749894</v>
      </c>
      <c r="EJ72" s="23">
        <v>3.26105716610947</v>
      </c>
    </row>
    <row r="73" ht="13.55" customHeight="1">
      <c r="A73" t="s" s="7">
        <v>63</v>
      </c>
      <c r="B73" s="22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1.125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-0.875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0.875</v>
      </c>
      <c r="AY73" s="23">
        <v>0</v>
      </c>
      <c r="AZ73" s="23">
        <v>0</v>
      </c>
      <c r="BA73" s="23">
        <v>0</v>
      </c>
      <c r="BB73" s="23">
        <v>0</v>
      </c>
      <c r="BC73" s="23">
        <v>0</v>
      </c>
      <c r="BD73" s="23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0</v>
      </c>
      <c r="BT73" s="23">
        <v>0</v>
      </c>
      <c r="BU73" s="23">
        <v>0</v>
      </c>
      <c r="BV73" s="23">
        <v>0</v>
      </c>
      <c r="BW73" s="23">
        <v>0</v>
      </c>
      <c r="BX73" s="23">
        <v>0</v>
      </c>
      <c r="BY73" s="23">
        <v>0</v>
      </c>
      <c r="BZ73" s="23">
        <v>0</v>
      </c>
      <c r="CA73" s="23">
        <v>0</v>
      </c>
      <c r="CB73" s="23">
        <v>0</v>
      </c>
      <c r="CC73" s="23">
        <v>0</v>
      </c>
      <c r="CD73" s="23">
        <v>0</v>
      </c>
      <c r="CE73" s="23">
        <v>0</v>
      </c>
      <c r="CF73" s="23">
        <v>0</v>
      </c>
      <c r="CG73" s="23">
        <v>0</v>
      </c>
      <c r="CH73" s="23">
        <v>0</v>
      </c>
      <c r="CI73" s="23">
        <v>0</v>
      </c>
      <c r="CJ73" s="23">
        <v>0</v>
      </c>
      <c r="CK73" s="23">
        <v>0</v>
      </c>
      <c r="CL73" s="23">
        <v>0</v>
      </c>
      <c r="CM73" s="23">
        <v>0</v>
      </c>
      <c r="CN73" s="23">
        <v>0</v>
      </c>
      <c r="CO73" s="23">
        <v>0</v>
      </c>
      <c r="CP73" s="23">
        <v>0</v>
      </c>
      <c r="CQ73" s="23">
        <v>0</v>
      </c>
      <c r="CR73" s="23">
        <v>0</v>
      </c>
      <c r="CS73" s="23">
        <v>0</v>
      </c>
      <c r="CT73" s="23">
        <v>0</v>
      </c>
      <c r="CU73" s="23">
        <v>0</v>
      </c>
      <c r="CV73" s="23">
        <v>0</v>
      </c>
      <c r="CW73" s="23">
        <v>0</v>
      </c>
      <c r="CX73" s="23">
        <v>0</v>
      </c>
      <c r="CY73" s="23">
        <v>0</v>
      </c>
      <c r="CZ73" s="23">
        <v>0</v>
      </c>
      <c r="DA73" s="23">
        <v>0</v>
      </c>
      <c r="DB73" s="23">
        <v>0</v>
      </c>
      <c r="DC73" s="23">
        <v>0</v>
      </c>
      <c r="DD73" s="23">
        <v>0</v>
      </c>
      <c r="DE73" s="23">
        <v>0</v>
      </c>
      <c r="DF73" s="23">
        <v>0</v>
      </c>
      <c r="DG73" s="23">
        <v>0</v>
      </c>
      <c r="DH73" s="23">
        <v>0</v>
      </c>
      <c r="DI73" s="23">
        <v>0</v>
      </c>
      <c r="DJ73" s="23">
        <v>0</v>
      </c>
      <c r="DK73" s="23">
        <v>0</v>
      </c>
      <c r="DL73" s="23">
        <v>0</v>
      </c>
      <c r="DM73" s="23">
        <v>0</v>
      </c>
      <c r="DN73" s="23">
        <v>0</v>
      </c>
      <c r="DO73" s="23">
        <v>0.875</v>
      </c>
      <c r="DP73" s="23">
        <v>0</v>
      </c>
      <c r="DQ73" s="23">
        <v>0</v>
      </c>
      <c r="DR73" s="23">
        <v>0</v>
      </c>
      <c r="DS73" s="23">
        <v>0</v>
      </c>
      <c r="DT73" s="23">
        <v>0</v>
      </c>
      <c r="DU73" s="23">
        <v>1.75</v>
      </c>
      <c r="DV73" s="23">
        <v>0</v>
      </c>
      <c r="DW73" s="23">
        <v>0</v>
      </c>
      <c r="DX73" s="23">
        <v>0</v>
      </c>
      <c r="DY73" s="23">
        <v>-0.875</v>
      </c>
      <c r="DZ73" s="23">
        <v>0</v>
      </c>
      <c r="EA73" s="23">
        <v>0</v>
      </c>
      <c r="EB73" s="23">
        <v>0</v>
      </c>
      <c r="EC73" s="23">
        <v>0</v>
      </c>
      <c r="ED73" s="23">
        <v>0</v>
      </c>
      <c r="EE73" s="23">
        <v>0</v>
      </c>
      <c r="EF73" s="23">
        <v>0</v>
      </c>
      <c r="EG73" s="23">
        <v>0</v>
      </c>
      <c r="EH73" s="23">
        <v>2.875</v>
      </c>
      <c r="EI73" s="23" cm="1">
        <f t="array" ref="EI73">VLOOKUP(A73,'Opponent List'!$A1:$P137,16,FALSE)</f>
        <v>-2.27922607436208</v>
      </c>
      <c r="EJ73" s="23">
        <v>0.59579451619031</v>
      </c>
    </row>
    <row r="74" ht="13.55" customHeight="1">
      <c r="A74" t="s" s="7">
        <v>37</v>
      </c>
      <c r="B74" s="22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1.125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1.125</v>
      </c>
      <c r="AG74" s="23">
        <v>0</v>
      </c>
      <c r="AH74" s="23">
        <v>-0.875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0.875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3">
        <v>0</v>
      </c>
      <c r="AZ74" s="23">
        <v>0</v>
      </c>
      <c r="BA74" s="23">
        <v>0</v>
      </c>
      <c r="BB74" s="23">
        <v>1.125</v>
      </c>
      <c r="BC74" s="23">
        <v>0</v>
      </c>
      <c r="BD74" s="23">
        <v>0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v>0</v>
      </c>
      <c r="BQ74" s="23">
        <v>0</v>
      </c>
      <c r="BR74" s="23">
        <v>0</v>
      </c>
      <c r="BS74" s="23">
        <v>0</v>
      </c>
      <c r="BT74" s="23">
        <v>0</v>
      </c>
      <c r="BU74" s="23">
        <v>0</v>
      </c>
      <c r="BV74" s="23">
        <v>0</v>
      </c>
      <c r="BW74" s="23">
        <v>0</v>
      </c>
      <c r="BX74" s="23">
        <v>0</v>
      </c>
      <c r="BY74" s="23">
        <v>0</v>
      </c>
      <c r="BZ74" s="23">
        <v>0</v>
      </c>
      <c r="CA74" s="23">
        <v>0</v>
      </c>
      <c r="CB74" s="23">
        <v>0</v>
      </c>
      <c r="CC74" s="23">
        <v>0</v>
      </c>
      <c r="CD74" s="23">
        <v>0</v>
      </c>
      <c r="CE74" s="23">
        <v>0</v>
      </c>
      <c r="CF74" s="23">
        <v>0</v>
      </c>
      <c r="CG74" s="23">
        <v>0</v>
      </c>
      <c r="CH74" s="23">
        <v>0</v>
      </c>
      <c r="CI74" s="23">
        <v>0</v>
      </c>
      <c r="CJ74" s="23">
        <v>-1.125</v>
      </c>
      <c r="CK74" s="23">
        <v>0</v>
      </c>
      <c r="CL74" s="23">
        <v>0</v>
      </c>
      <c r="CM74" s="23">
        <v>0</v>
      </c>
      <c r="CN74" s="23">
        <v>0</v>
      </c>
      <c r="CO74" s="23">
        <v>0</v>
      </c>
      <c r="CP74" s="23">
        <v>0</v>
      </c>
      <c r="CQ74" s="23">
        <v>0</v>
      </c>
      <c r="CR74" s="23">
        <v>0</v>
      </c>
      <c r="CS74" s="23">
        <v>0</v>
      </c>
      <c r="CT74" s="23">
        <v>0</v>
      </c>
      <c r="CU74" s="23">
        <v>0</v>
      </c>
      <c r="CV74" s="23">
        <v>0</v>
      </c>
      <c r="CW74" s="23">
        <v>0</v>
      </c>
      <c r="CX74" s="23">
        <v>-0.875</v>
      </c>
      <c r="CY74" s="23">
        <v>0</v>
      </c>
      <c r="CZ74" s="23">
        <v>0</v>
      </c>
      <c r="DA74" s="23">
        <v>0</v>
      </c>
      <c r="DB74" s="23">
        <v>0</v>
      </c>
      <c r="DC74" s="23">
        <v>0</v>
      </c>
      <c r="DD74" s="23">
        <v>0</v>
      </c>
      <c r="DE74" s="23">
        <v>0</v>
      </c>
      <c r="DF74" s="23">
        <v>0</v>
      </c>
      <c r="DG74" s="23">
        <v>0</v>
      </c>
      <c r="DH74" s="23">
        <v>0</v>
      </c>
      <c r="DI74" s="23">
        <v>0</v>
      </c>
      <c r="DJ74" s="23">
        <v>0</v>
      </c>
      <c r="DK74" s="23">
        <v>0</v>
      </c>
      <c r="DL74" s="23">
        <v>0</v>
      </c>
      <c r="DM74" s="23">
        <v>0</v>
      </c>
      <c r="DN74" s="23">
        <v>0</v>
      </c>
      <c r="DO74" s="23">
        <v>0</v>
      </c>
      <c r="DP74" s="23">
        <v>0</v>
      </c>
      <c r="DQ74" s="23">
        <v>0</v>
      </c>
      <c r="DR74" s="23">
        <v>0</v>
      </c>
      <c r="DS74" s="23">
        <v>0</v>
      </c>
      <c r="DT74" s="23">
        <v>0</v>
      </c>
      <c r="DU74" s="23">
        <v>0</v>
      </c>
      <c r="DV74" s="23">
        <v>0</v>
      </c>
      <c r="DW74" s="23">
        <v>0</v>
      </c>
      <c r="DX74" s="23">
        <v>0</v>
      </c>
      <c r="DY74" s="23">
        <v>0</v>
      </c>
      <c r="DZ74" s="23">
        <v>0</v>
      </c>
      <c r="EA74" s="23">
        <v>0</v>
      </c>
      <c r="EB74" s="23">
        <v>0</v>
      </c>
      <c r="EC74" s="23">
        <v>0</v>
      </c>
      <c r="ED74" s="23">
        <v>0</v>
      </c>
      <c r="EE74" s="23">
        <v>0</v>
      </c>
      <c r="EF74" s="23">
        <v>0</v>
      </c>
      <c r="EG74" s="23">
        <v>0</v>
      </c>
      <c r="EH74" s="23">
        <v>1.375</v>
      </c>
      <c r="EI74" s="23" cm="1">
        <f t="array" ref="EI74">VLOOKUP(A74,'Opponent List'!$A1:$P137,16,FALSE)</f>
        <v>1.86846566520816</v>
      </c>
      <c r="EJ74" s="23">
        <v>3.24335785314622</v>
      </c>
    </row>
    <row r="75" ht="13.55" customHeight="1">
      <c r="A75" t="s" s="7">
        <v>51</v>
      </c>
      <c r="B75" s="22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0.875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0.875</v>
      </c>
      <c r="AL75" s="23">
        <v>0</v>
      </c>
      <c r="AM75" s="23">
        <v>0</v>
      </c>
      <c r="AN75" s="23">
        <v>1.125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3">
        <v>0</v>
      </c>
      <c r="BD75" s="23">
        <v>0</v>
      </c>
      <c r="BE75" s="23">
        <v>0</v>
      </c>
      <c r="BF75" s="23">
        <v>-1.125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0</v>
      </c>
      <c r="BT75" s="23">
        <v>0</v>
      </c>
      <c r="BU75" s="23">
        <v>0</v>
      </c>
      <c r="BV75" s="23">
        <v>0</v>
      </c>
      <c r="BW75" s="23">
        <v>0</v>
      </c>
      <c r="BX75" s="23">
        <v>0</v>
      </c>
      <c r="BY75" s="23">
        <v>0</v>
      </c>
      <c r="BZ75" s="23">
        <v>0</v>
      </c>
      <c r="CA75" s="23">
        <v>0.875</v>
      </c>
      <c r="CB75" s="23">
        <v>0</v>
      </c>
      <c r="CC75" s="23">
        <v>0</v>
      </c>
      <c r="CD75" s="23">
        <v>0</v>
      </c>
      <c r="CE75" s="23">
        <v>0</v>
      </c>
      <c r="CF75" s="23">
        <v>0</v>
      </c>
      <c r="CG75" s="23">
        <v>0</v>
      </c>
      <c r="CH75" s="23">
        <v>0</v>
      </c>
      <c r="CI75" s="23">
        <v>0</v>
      </c>
      <c r="CJ75" s="23">
        <v>-0.875</v>
      </c>
      <c r="CK75" s="23">
        <v>0</v>
      </c>
      <c r="CL75" s="23">
        <v>0</v>
      </c>
      <c r="CM75" s="23">
        <v>0</v>
      </c>
      <c r="CN75" s="23">
        <v>0</v>
      </c>
      <c r="CO75" s="23">
        <v>0</v>
      </c>
      <c r="CP75" s="23">
        <v>0</v>
      </c>
      <c r="CQ75" s="23">
        <v>0</v>
      </c>
      <c r="CR75" s="23">
        <v>0</v>
      </c>
      <c r="CS75" s="23">
        <v>0</v>
      </c>
      <c r="CT75" s="23">
        <v>0</v>
      </c>
      <c r="CU75" s="23">
        <v>0</v>
      </c>
      <c r="CV75" s="23">
        <v>0</v>
      </c>
      <c r="CW75" s="23">
        <v>0</v>
      </c>
      <c r="CX75" s="23">
        <v>0</v>
      </c>
      <c r="CY75" s="23">
        <v>0</v>
      </c>
      <c r="CZ75" s="23">
        <v>0</v>
      </c>
      <c r="DA75" s="23">
        <v>0</v>
      </c>
      <c r="DB75" s="23">
        <v>0</v>
      </c>
      <c r="DC75" s="23">
        <v>0</v>
      </c>
      <c r="DD75" s="23">
        <v>0</v>
      </c>
      <c r="DE75" s="23">
        <v>0</v>
      </c>
      <c r="DF75" s="23">
        <v>0</v>
      </c>
      <c r="DG75" s="23">
        <v>0</v>
      </c>
      <c r="DH75" s="23">
        <v>0</v>
      </c>
      <c r="DI75" s="23">
        <v>0</v>
      </c>
      <c r="DJ75" s="23">
        <v>0</v>
      </c>
      <c r="DK75" s="23">
        <v>0</v>
      </c>
      <c r="DL75" s="23">
        <v>0</v>
      </c>
      <c r="DM75" s="23">
        <v>0</v>
      </c>
      <c r="DN75" s="23">
        <v>0</v>
      </c>
      <c r="DO75" s="23">
        <v>0</v>
      </c>
      <c r="DP75" s="23">
        <v>0</v>
      </c>
      <c r="DQ75" s="23">
        <v>1.125</v>
      </c>
      <c r="DR75" s="23">
        <v>0</v>
      </c>
      <c r="DS75" s="23">
        <v>0</v>
      </c>
      <c r="DT75" s="23">
        <v>0</v>
      </c>
      <c r="DU75" s="23">
        <v>0</v>
      </c>
      <c r="DV75" s="23">
        <v>0</v>
      </c>
      <c r="DW75" s="23">
        <v>0</v>
      </c>
      <c r="DX75" s="23">
        <v>0</v>
      </c>
      <c r="DY75" s="23">
        <v>0</v>
      </c>
      <c r="DZ75" s="23">
        <v>0</v>
      </c>
      <c r="EA75" s="23">
        <v>0</v>
      </c>
      <c r="EB75" s="23">
        <v>0</v>
      </c>
      <c r="EC75" s="23">
        <v>0</v>
      </c>
      <c r="ED75" s="23">
        <v>0</v>
      </c>
      <c r="EE75" s="23">
        <v>0</v>
      </c>
      <c r="EF75" s="23">
        <v>0</v>
      </c>
      <c r="EG75" s="23">
        <v>0</v>
      </c>
      <c r="EH75" s="23">
        <v>2.875</v>
      </c>
      <c r="EI75" s="23" cm="1">
        <f t="array" ref="EI75">VLOOKUP(A75,'Opponent List'!$A1:$P137,16,FALSE)</f>
        <v>-0.952185381719991</v>
      </c>
      <c r="EJ75" s="23">
        <v>1.92271517987119</v>
      </c>
    </row>
    <row r="76" ht="13.55" customHeight="1">
      <c r="A76" t="s" s="7">
        <v>121</v>
      </c>
      <c r="B76" s="22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-0.875</v>
      </c>
      <c r="AI76" s="23">
        <v>0</v>
      </c>
      <c r="AJ76" s="23">
        <v>0</v>
      </c>
      <c r="AK76" s="23">
        <v>0</v>
      </c>
      <c r="AL76" s="23">
        <v>-0.875</v>
      </c>
      <c r="AM76" s="23">
        <v>0</v>
      </c>
      <c r="AN76" s="23">
        <v>0</v>
      </c>
      <c r="AO76" s="23">
        <v>0</v>
      </c>
      <c r="AP76" s="23">
        <v>-1.125</v>
      </c>
      <c r="AQ76" s="23">
        <v>0</v>
      </c>
      <c r="AR76" s="23">
        <v>0</v>
      </c>
      <c r="AS76" s="23">
        <v>0</v>
      </c>
      <c r="AT76" s="23">
        <v>0</v>
      </c>
      <c r="AU76" s="23">
        <v>0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3">
        <v>0</v>
      </c>
      <c r="BD76" s="23">
        <v>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0</v>
      </c>
      <c r="BK76" s="23">
        <v>-1.125</v>
      </c>
      <c r="BL76" s="23">
        <v>0</v>
      </c>
      <c r="BM76" s="23">
        <v>0</v>
      </c>
      <c r="BN76" s="23">
        <v>0</v>
      </c>
      <c r="BO76" s="23">
        <v>0</v>
      </c>
      <c r="BP76" s="23">
        <v>0</v>
      </c>
      <c r="BQ76" s="23">
        <v>0</v>
      </c>
      <c r="BR76" s="23">
        <v>0</v>
      </c>
      <c r="BS76" s="23">
        <v>0</v>
      </c>
      <c r="BT76" s="23">
        <v>0</v>
      </c>
      <c r="BU76" s="23">
        <v>0</v>
      </c>
      <c r="BV76" s="23">
        <v>0</v>
      </c>
      <c r="BW76" s="23">
        <v>0</v>
      </c>
      <c r="BX76" s="23">
        <v>0</v>
      </c>
      <c r="BY76" s="23">
        <v>0</v>
      </c>
      <c r="BZ76" s="23">
        <v>0</v>
      </c>
      <c r="CA76" s="23">
        <v>0</v>
      </c>
      <c r="CB76" s="23">
        <v>0</v>
      </c>
      <c r="CC76" s="23">
        <v>0</v>
      </c>
      <c r="CD76" s="23">
        <v>0</v>
      </c>
      <c r="CE76" s="23">
        <v>0</v>
      </c>
      <c r="CF76" s="23">
        <v>0</v>
      </c>
      <c r="CG76" s="23">
        <v>0</v>
      </c>
      <c r="CH76" s="23">
        <v>0</v>
      </c>
      <c r="CI76" s="23">
        <v>0</v>
      </c>
      <c r="CJ76" s="23">
        <v>0</v>
      </c>
      <c r="CK76" s="23">
        <v>-1.125</v>
      </c>
      <c r="CL76" s="23">
        <v>0</v>
      </c>
      <c r="CM76" s="23">
        <v>0</v>
      </c>
      <c r="CN76" s="23">
        <v>0</v>
      </c>
      <c r="CO76" s="23">
        <v>0</v>
      </c>
      <c r="CP76" s="23">
        <v>0</v>
      </c>
      <c r="CQ76" s="23">
        <v>0</v>
      </c>
      <c r="CR76" s="23">
        <v>0</v>
      </c>
      <c r="CS76" s="23">
        <v>0</v>
      </c>
      <c r="CT76" s="23">
        <v>0</v>
      </c>
      <c r="CU76" s="23">
        <v>0</v>
      </c>
      <c r="CV76" s="23">
        <v>0</v>
      </c>
      <c r="CW76" s="23">
        <v>0</v>
      </c>
      <c r="CX76" s="23">
        <v>0</v>
      </c>
      <c r="CY76" s="23">
        <v>0</v>
      </c>
      <c r="CZ76" s="23">
        <v>-1.125</v>
      </c>
      <c r="DA76" s="23">
        <v>0</v>
      </c>
      <c r="DB76" s="23">
        <v>0</v>
      </c>
      <c r="DC76" s="23">
        <v>0</v>
      </c>
      <c r="DD76" s="23">
        <v>0</v>
      </c>
      <c r="DE76" s="23">
        <v>0</v>
      </c>
      <c r="DF76" s="23">
        <v>0</v>
      </c>
      <c r="DG76" s="23">
        <v>0</v>
      </c>
      <c r="DH76" s="23">
        <v>0</v>
      </c>
      <c r="DI76" s="23">
        <v>0</v>
      </c>
      <c r="DJ76" s="23">
        <v>0</v>
      </c>
      <c r="DK76" s="23">
        <v>0</v>
      </c>
      <c r="DL76" s="23">
        <v>0</v>
      </c>
      <c r="DM76" s="23">
        <v>0</v>
      </c>
      <c r="DN76" s="23">
        <v>0</v>
      </c>
      <c r="DO76" s="23">
        <v>0</v>
      </c>
      <c r="DP76" s="23">
        <v>0</v>
      </c>
      <c r="DQ76" s="23">
        <v>0</v>
      </c>
      <c r="DR76" s="23">
        <v>0</v>
      </c>
      <c r="DS76" s="23">
        <v>0</v>
      </c>
      <c r="DT76" s="23">
        <v>-1.125</v>
      </c>
      <c r="DU76" s="23">
        <v>0</v>
      </c>
      <c r="DV76" s="23">
        <v>0</v>
      </c>
      <c r="DW76" s="23">
        <v>0</v>
      </c>
      <c r="DX76" s="23">
        <v>0</v>
      </c>
      <c r="DY76" s="23">
        <v>0</v>
      </c>
      <c r="DZ76" s="23">
        <v>0</v>
      </c>
      <c r="EA76" s="23">
        <v>0</v>
      </c>
      <c r="EB76" s="23">
        <v>0</v>
      </c>
      <c r="EC76" s="23">
        <v>0</v>
      </c>
      <c r="ED76" s="23">
        <v>0</v>
      </c>
      <c r="EE76" s="23">
        <v>0</v>
      </c>
      <c r="EF76" s="23">
        <v>0</v>
      </c>
      <c r="EG76" s="23">
        <v>0</v>
      </c>
      <c r="EH76" s="23">
        <v>-7.375</v>
      </c>
      <c r="EI76" s="23" cm="1">
        <f t="array" ref="EI76">VLOOKUP(A76,'Opponent List'!$A1:$P137,16,FALSE)</f>
        <v>3.28874555594873</v>
      </c>
      <c r="EJ76" s="23">
        <v>-4.08640151456241</v>
      </c>
    </row>
    <row r="77" ht="13.55" customHeight="1">
      <c r="A77" t="s" s="7">
        <v>106</v>
      </c>
      <c r="B77" s="22">
        <v>0</v>
      </c>
      <c r="C77" s="23">
        <v>0</v>
      </c>
      <c r="D77" s="23">
        <v>0</v>
      </c>
      <c r="E77" s="23">
        <v>0</v>
      </c>
      <c r="F77" s="23">
        <v>0</v>
      </c>
      <c r="G77" s="23">
        <v>-1.125</v>
      </c>
      <c r="H77" s="23">
        <v>0</v>
      </c>
      <c r="I77" s="23">
        <v>0</v>
      </c>
      <c r="J77" s="23">
        <v>0</v>
      </c>
      <c r="K77" s="23">
        <v>-0.875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0</v>
      </c>
      <c r="AS77" s="23">
        <v>0</v>
      </c>
      <c r="AT77" s="23">
        <v>0</v>
      </c>
      <c r="AU77" s="23">
        <v>0</v>
      </c>
      <c r="AV77" s="23">
        <v>0</v>
      </c>
      <c r="AW77" s="23">
        <v>0</v>
      </c>
      <c r="AX77" s="23">
        <v>0</v>
      </c>
      <c r="AY77" s="23">
        <v>0</v>
      </c>
      <c r="AZ77" s="23">
        <v>0</v>
      </c>
      <c r="BA77" s="23">
        <v>0</v>
      </c>
      <c r="BB77" s="23">
        <v>0</v>
      </c>
      <c r="BC77" s="23">
        <v>0</v>
      </c>
      <c r="BD77" s="23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v>0</v>
      </c>
      <c r="BQ77" s="23">
        <v>0</v>
      </c>
      <c r="BR77" s="23">
        <v>0</v>
      </c>
      <c r="BS77" s="23">
        <v>0</v>
      </c>
      <c r="BT77" s="23">
        <v>0</v>
      </c>
      <c r="BU77" s="23">
        <v>0</v>
      </c>
      <c r="BV77" s="23">
        <v>0</v>
      </c>
      <c r="BW77" s="23">
        <v>0</v>
      </c>
      <c r="BX77" s="23">
        <v>0</v>
      </c>
      <c r="BY77" s="23">
        <v>0</v>
      </c>
      <c r="BZ77" s="23">
        <v>0</v>
      </c>
      <c r="CA77" s="23">
        <v>0</v>
      </c>
      <c r="CB77" s="23">
        <v>0</v>
      </c>
      <c r="CC77" s="23">
        <v>0</v>
      </c>
      <c r="CD77" s="23">
        <v>0</v>
      </c>
      <c r="CE77" s="23">
        <v>0</v>
      </c>
      <c r="CF77" s="23">
        <v>0</v>
      </c>
      <c r="CG77" s="23">
        <v>0</v>
      </c>
      <c r="CH77" s="23">
        <v>0</v>
      </c>
      <c r="CI77" s="23">
        <v>0</v>
      </c>
      <c r="CJ77" s="23">
        <v>0</v>
      </c>
      <c r="CK77" s="23">
        <v>-0.875</v>
      </c>
      <c r="CL77" s="23">
        <v>0</v>
      </c>
      <c r="CM77" s="23">
        <v>0</v>
      </c>
      <c r="CN77" s="23">
        <v>0.875</v>
      </c>
      <c r="CO77" s="23">
        <v>0</v>
      </c>
      <c r="CP77" s="23">
        <v>0</v>
      </c>
      <c r="CQ77" s="23">
        <v>0</v>
      </c>
      <c r="CR77" s="23">
        <v>0</v>
      </c>
      <c r="CS77" s="23">
        <v>0</v>
      </c>
      <c r="CT77" s="23">
        <v>-0.875</v>
      </c>
      <c r="CU77" s="23">
        <v>0</v>
      </c>
      <c r="CV77" s="23">
        <v>0</v>
      </c>
      <c r="CW77" s="23">
        <v>0</v>
      </c>
      <c r="CX77" s="23">
        <v>0</v>
      </c>
      <c r="CY77" s="23">
        <v>0.875</v>
      </c>
      <c r="CZ77" s="23">
        <v>0</v>
      </c>
      <c r="DA77" s="23">
        <v>0</v>
      </c>
      <c r="DB77" s="23">
        <v>0</v>
      </c>
      <c r="DC77" s="23">
        <v>0</v>
      </c>
      <c r="DD77" s="23">
        <v>0</v>
      </c>
      <c r="DE77" s="23">
        <v>0</v>
      </c>
      <c r="DF77" s="23">
        <v>0</v>
      </c>
      <c r="DG77" s="23">
        <v>0</v>
      </c>
      <c r="DH77" s="23">
        <v>0</v>
      </c>
      <c r="DI77" s="23">
        <v>0</v>
      </c>
      <c r="DJ77" s="23">
        <v>0</v>
      </c>
      <c r="DK77" s="23">
        <v>0</v>
      </c>
      <c r="DL77" s="23">
        <v>0</v>
      </c>
      <c r="DM77" s="23">
        <v>0</v>
      </c>
      <c r="DN77" s="23">
        <v>0</v>
      </c>
      <c r="DO77" s="23">
        <v>0</v>
      </c>
      <c r="DP77" s="23">
        <v>0</v>
      </c>
      <c r="DQ77" s="23">
        <v>0</v>
      </c>
      <c r="DR77" s="23">
        <v>0</v>
      </c>
      <c r="DS77" s="23">
        <v>0</v>
      </c>
      <c r="DT77" s="23">
        <v>0</v>
      </c>
      <c r="DU77" s="23">
        <v>0</v>
      </c>
      <c r="DV77" s="23">
        <v>0</v>
      </c>
      <c r="DW77" s="23">
        <v>0</v>
      </c>
      <c r="DX77" s="23">
        <v>0</v>
      </c>
      <c r="DY77" s="23">
        <v>0</v>
      </c>
      <c r="DZ77" s="23">
        <v>0</v>
      </c>
      <c r="EA77" s="23">
        <v>-0.875</v>
      </c>
      <c r="EB77" s="23">
        <v>0</v>
      </c>
      <c r="EC77" s="23">
        <v>0</v>
      </c>
      <c r="ED77" s="23">
        <v>0</v>
      </c>
      <c r="EE77" s="23">
        <v>0</v>
      </c>
      <c r="EF77" s="23">
        <v>0</v>
      </c>
      <c r="EG77" s="23">
        <v>0</v>
      </c>
      <c r="EH77" s="23">
        <v>-2.875</v>
      </c>
      <c r="EI77" s="23" cm="1">
        <f t="array" ref="EI77">VLOOKUP(A77,'Opponent List'!$A1:$P137,16,FALSE)</f>
        <v>0.127355810546623</v>
      </c>
      <c r="EJ77" s="23">
        <v>-2.74762863241334</v>
      </c>
    </row>
    <row r="78" ht="13.55" customHeight="1">
      <c r="A78" t="s" s="7">
        <v>54</v>
      </c>
      <c r="B78" s="22">
        <v>0</v>
      </c>
      <c r="C78" s="23">
        <v>0</v>
      </c>
      <c r="D78" s="23">
        <v>0</v>
      </c>
      <c r="E78" s="23">
        <v>0.875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0.875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-1.125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0.875</v>
      </c>
      <c r="AW78" s="23">
        <v>0</v>
      </c>
      <c r="AX78" s="23">
        <v>0</v>
      </c>
      <c r="AY78" s="23">
        <v>0</v>
      </c>
      <c r="AZ78" s="23">
        <v>0</v>
      </c>
      <c r="BA78" s="23">
        <v>0</v>
      </c>
      <c r="BB78" s="23">
        <v>0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v>0</v>
      </c>
      <c r="BQ78" s="23">
        <v>0</v>
      </c>
      <c r="BR78" s="23">
        <v>0</v>
      </c>
      <c r="BS78" s="23">
        <v>0</v>
      </c>
      <c r="BT78" s="23">
        <v>0</v>
      </c>
      <c r="BU78" s="23">
        <v>0</v>
      </c>
      <c r="BV78" s="23">
        <v>0</v>
      </c>
      <c r="BW78" s="23">
        <v>0</v>
      </c>
      <c r="BX78" s="23">
        <v>0</v>
      </c>
      <c r="BY78" s="23">
        <v>0</v>
      </c>
      <c r="BZ78" s="23">
        <v>0</v>
      </c>
      <c r="CA78" s="23">
        <v>0</v>
      </c>
      <c r="CB78" s="23">
        <v>0</v>
      </c>
      <c r="CC78" s="23">
        <v>0</v>
      </c>
      <c r="CD78" s="23">
        <v>0</v>
      </c>
      <c r="CE78" s="23">
        <v>0</v>
      </c>
      <c r="CF78" s="23">
        <v>0</v>
      </c>
      <c r="CG78" s="23">
        <v>0</v>
      </c>
      <c r="CH78" s="23">
        <v>0</v>
      </c>
      <c r="CI78" s="23">
        <v>0</v>
      </c>
      <c r="CJ78" s="23">
        <v>0</v>
      </c>
      <c r="CK78" s="23">
        <v>0</v>
      </c>
      <c r="CL78" s="23">
        <v>0</v>
      </c>
      <c r="CM78" s="23">
        <v>0</v>
      </c>
      <c r="CN78" s="23">
        <v>0</v>
      </c>
      <c r="CO78" s="23">
        <v>0</v>
      </c>
      <c r="CP78" s="23">
        <v>0</v>
      </c>
      <c r="CQ78" s="23">
        <v>0</v>
      </c>
      <c r="CR78" s="23">
        <v>0</v>
      </c>
      <c r="CS78" s="23">
        <v>0</v>
      </c>
      <c r="CT78" s="23">
        <v>0</v>
      </c>
      <c r="CU78" s="23">
        <v>0</v>
      </c>
      <c r="CV78" s="23">
        <v>0</v>
      </c>
      <c r="CW78" s="23">
        <v>0</v>
      </c>
      <c r="CX78" s="23">
        <v>0</v>
      </c>
      <c r="CY78" s="23">
        <v>0</v>
      </c>
      <c r="CZ78" s="23">
        <v>0</v>
      </c>
      <c r="DA78" s="23">
        <v>0</v>
      </c>
      <c r="DB78" s="23">
        <v>0</v>
      </c>
      <c r="DC78" s="23">
        <v>0</v>
      </c>
      <c r="DD78" s="23">
        <v>0.875</v>
      </c>
      <c r="DE78" s="23">
        <v>0</v>
      </c>
      <c r="DF78" s="23">
        <v>0</v>
      </c>
      <c r="DG78" s="23">
        <v>0</v>
      </c>
      <c r="DH78" s="23">
        <v>0</v>
      </c>
      <c r="DI78" s="23">
        <v>0</v>
      </c>
      <c r="DJ78" s="23">
        <v>0</v>
      </c>
      <c r="DK78" s="23">
        <v>0</v>
      </c>
      <c r="DL78" s="23">
        <v>0</v>
      </c>
      <c r="DM78" s="23">
        <v>0</v>
      </c>
      <c r="DN78" s="23">
        <v>0</v>
      </c>
      <c r="DO78" s="23">
        <v>1.125</v>
      </c>
      <c r="DP78" s="23">
        <v>0</v>
      </c>
      <c r="DQ78" s="23">
        <v>0</v>
      </c>
      <c r="DR78" s="23">
        <v>0</v>
      </c>
      <c r="DS78" s="23">
        <v>0</v>
      </c>
      <c r="DT78" s="23">
        <v>0</v>
      </c>
      <c r="DU78" s="23">
        <v>0</v>
      </c>
      <c r="DV78" s="23">
        <v>0</v>
      </c>
      <c r="DW78" s="23">
        <v>0</v>
      </c>
      <c r="DX78" s="23">
        <v>0</v>
      </c>
      <c r="DY78" s="23">
        <v>0</v>
      </c>
      <c r="DZ78" s="23">
        <v>0</v>
      </c>
      <c r="EA78" s="23">
        <v>-0.875</v>
      </c>
      <c r="EB78" s="23">
        <v>0</v>
      </c>
      <c r="EC78" s="23">
        <v>0</v>
      </c>
      <c r="ED78" s="23">
        <v>0</v>
      </c>
      <c r="EE78" s="23">
        <v>0</v>
      </c>
      <c r="EF78" s="23">
        <v>0</v>
      </c>
      <c r="EG78" s="23">
        <v>0</v>
      </c>
      <c r="EH78" s="23">
        <v>2.625</v>
      </c>
      <c r="EI78" s="23" cm="1">
        <f t="array" ref="EI78">VLOOKUP(A78,'Opponent List'!$A1:$P137,16,FALSE)</f>
        <v>-0.948500031372107</v>
      </c>
      <c r="EJ78" s="23">
        <v>1.67670283281755</v>
      </c>
    </row>
    <row r="79" ht="13.55" customHeight="1">
      <c r="A79" t="s" s="7">
        <v>79</v>
      </c>
      <c r="B79" s="22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0.875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1.125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-0.875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v>0</v>
      </c>
      <c r="BC79" s="23">
        <v>0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v>0</v>
      </c>
      <c r="BQ79" s="23">
        <v>0</v>
      </c>
      <c r="BR79" s="23">
        <v>0</v>
      </c>
      <c r="BS79" s="23">
        <v>0</v>
      </c>
      <c r="BT79" s="23">
        <v>0</v>
      </c>
      <c r="BU79" s="23">
        <v>0</v>
      </c>
      <c r="BV79" s="23">
        <v>0</v>
      </c>
      <c r="BW79" s="23">
        <v>-0.875</v>
      </c>
      <c r="BX79" s="23">
        <v>0</v>
      </c>
      <c r="BY79" s="23">
        <v>0</v>
      </c>
      <c r="BZ79" s="23">
        <v>0</v>
      </c>
      <c r="CA79" s="23">
        <v>0</v>
      </c>
      <c r="CB79" s="23">
        <v>0</v>
      </c>
      <c r="CC79" s="23">
        <v>0</v>
      </c>
      <c r="CD79" s="23">
        <v>0</v>
      </c>
      <c r="CE79" s="23">
        <v>0</v>
      </c>
      <c r="CF79" s="23">
        <v>1.125</v>
      </c>
      <c r="CG79" s="23">
        <v>0</v>
      </c>
      <c r="CH79" s="23">
        <v>0</v>
      </c>
      <c r="CI79" s="23">
        <v>0</v>
      </c>
      <c r="CJ79" s="23">
        <v>0</v>
      </c>
      <c r="CK79" s="23">
        <v>0</v>
      </c>
      <c r="CL79" s="23">
        <v>0</v>
      </c>
      <c r="CM79" s="23">
        <v>0</v>
      </c>
      <c r="CN79" s="23">
        <v>0</v>
      </c>
      <c r="CO79" s="23">
        <v>0</v>
      </c>
      <c r="CP79" s="23">
        <v>0</v>
      </c>
      <c r="CQ79" s="23">
        <v>0</v>
      </c>
      <c r="CR79" s="23">
        <v>-1.125</v>
      </c>
      <c r="CS79" s="23">
        <v>0</v>
      </c>
      <c r="CT79" s="23">
        <v>0</v>
      </c>
      <c r="CU79" s="23">
        <v>0</v>
      </c>
      <c r="CV79" s="23">
        <v>-1.125</v>
      </c>
      <c r="CW79" s="23">
        <v>0</v>
      </c>
      <c r="CX79" s="23">
        <v>0</v>
      </c>
      <c r="CY79" s="23">
        <v>0</v>
      </c>
      <c r="CZ79" s="23">
        <v>0</v>
      </c>
      <c r="DA79" s="23">
        <v>0</v>
      </c>
      <c r="DB79" s="23">
        <v>0</v>
      </c>
      <c r="DC79" s="23">
        <v>0</v>
      </c>
      <c r="DD79" s="23">
        <v>0</v>
      </c>
      <c r="DE79" s="23">
        <v>0</v>
      </c>
      <c r="DF79" s="23">
        <v>0</v>
      </c>
      <c r="DG79" s="23">
        <v>0</v>
      </c>
      <c r="DH79" s="23">
        <v>0</v>
      </c>
      <c r="DI79" s="23">
        <v>0</v>
      </c>
      <c r="DJ79" s="23">
        <v>0</v>
      </c>
      <c r="DK79" s="23">
        <v>0</v>
      </c>
      <c r="DL79" s="23">
        <v>0</v>
      </c>
      <c r="DM79" s="23">
        <v>0</v>
      </c>
      <c r="DN79" s="23">
        <v>0</v>
      </c>
      <c r="DO79" s="23">
        <v>0</v>
      </c>
      <c r="DP79" s="23">
        <v>0</v>
      </c>
      <c r="DQ79" s="23">
        <v>0</v>
      </c>
      <c r="DR79" s="23">
        <v>0</v>
      </c>
      <c r="DS79" s="23">
        <v>0</v>
      </c>
      <c r="DT79" s="23">
        <v>0</v>
      </c>
      <c r="DU79" s="23">
        <v>0</v>
      </c>
      <c r="DV79" s="23">
        <v>0</v>
      </c>
      <c r="DW79" s="23">
        <v>0</v>
      </c>
      <c r="DX79" s="23">
        <v>0</v>
      </c>
      <c r="DY79" s="23">
        <v>0</v>
      </c>
      <c r="DZ79" s="23">
        <v>0</v>
      </c>
      <c r="EA79" s="23">
        <v>0</v>
      </c>
      <c r="EB79" s="23">
        <v>0</v>
      </c>
      <c r="EC79" s="23">
        <v>0</v>
      </c>
      <c r="ED79" s="23">
        <v>0</v>
      </c>
      <c r="EE79" s="23">
        <v>0</v>
      </c>
      <c r="EF79" s="23">
        <v>0</v>
      </c>
      <c r="EG79" s="23">
        <v>0</v>
      </c>
      <c r="EH79" s="23">
        <v>-0.875</v>
      </c>
      <c r="EI79" s="23" cm="1">
        <f t="array" ref="EI79">VLOOKUP(A79,'Opponent List'!$A1:$P137,16,FALSE)</f>
        <v>0.0385822035270157</v>
      </c>
      <c r="EJ79" s="23">
        <v>-0.836360098479986</v>
      </c>
    </row>
    <row r="80" ht="13.55" customHeight="1">
      <c r="A80" t="s" s="7">
        <v>85</v>
      </c>
      <c r="B80" s="22">
        <v>0.875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1.125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0.875</v>
      </c>
      <c r="AG80" s="23">
        <v>0</v>
      </c>
      <c r="AH80" s="23">
        <v>0</v>
      </c>
      <c r="AI80" s="23">
        <v>-1.125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0.875</v>
      </c>
      <c r="AU80" s="23">
        <v>0</v>
      </c>
      <c r="AV80" s="23">
        <v>0</v>
      </c>
      <c r="AW80" s="23">
        <v>0</v>
      </c>
      <c r="AX80" s="23">
        <v>0</v>
      </c>
      <c r="AY80" s="23">
        <v>0</v>
      </c>
      <c r="AZ80" s="23">
        <v>0</v>
      </c>
      <c r="BA80" s="23">
        <v>0</v>
      </c>
      <c r="BB80" s="23">
        <v>0</v>
      </c>
      <c r="BC80" s="23">
        <v>0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v>0</v>
      </c>
      <c r="BQ80" s="23">
        <v>0</v>
      </c>
      <c r="BR80" s="23">
        <v>0</v>
      </c>
      <c r="BS80" s="23">
        <v>0</v>
      </c>
      <c r="BT80" s="23">
        <v>0</v>
      </c>
      <c r="BU80" s="23">
        <v>0</v>
      </c>
      <c r="BV80" s="23">
        <v>0</v>
      </c>
      <c r="BW80" s="23">
        <v>0</v>
      </c>
      <c r="BX80" s="23">
        <v>0</v>
      </c>
      <c r="BY80" s="23">
        <v>0</v>
      </c>
      <c r="BZ80" s="23">
        <v>0</v>
      </c>
      <c r="CA80" s="23">
        <v>0</v>
      </c>
      <c r="CB80" s="23">
        <v>0</v>
      </c>
      <c r="CC80" s="23">
        <v>0</v>
      </c>
      <c r="CD80" s="23">
        <v>0</v>
      </c>
      <c r="CE80" s="23">
        <v>0</v>
      </c>
      <c r="CF80" s="23">
        <v>0</v>
      </c>
      <c r="CG80" s="23">
        <v>0</v>
      </c>
      <c r="CH80" s="23">
        <v>0</v>
      </c>
      <c r="CI80" s="23">
        <v>0</v>
      </c>
      <c r="CJ80" s="23">
        <v>0</v>
      </c>
      <c r="CK80" s="23">
        <v>-0.875</v>
      </c>
      <c r="CL80" s="23">
        <v>0</v>
      </c>
      <c r="CM80" s="23">
        <v>0</v>
      </c>
      <c r="CN80" s="23">
        <v>0</v>
      </c>
      <c r="CO80" s="23">
        <v>-1.125</v>
      </c>
      <c r="CP80" s="23">
        <v>0</v>
      </c>
      <c r="CQ80" s="23">
        <v>0</v>
      </c>
      <c r="CR80" s="23">
        <v>0</v>
      </c>
      <c r="CS80" s="23">
        <v>0</v>
      </c>
      <c r="CT80" s="23">
        <v>0</v>
      </c>
      <c r="CU80" s="23">
        <v>0</v>
      </c>
      <c r="CV80" s="23">
        <v>0</v>
      </c>
      <c r="CW80" s="23">
        <v>0</v>
      </c>
      <c r="CX80" s="23">
        <v>0</v>
      </c>
      <c r="CY80" s="23">
        <v>0</v>
      </c>
      <c r="CZ80" s="23">
        <v>0</v>
      </c>
      <c r="DA80" s="23">
        <v>0</v>
      </c>
      <c r="DB80" s="23">
        <v>0</v>
      </c>
      <c r="DC80" s="23">
        <v>0</v>
      </c>
      <c r="DD80" s="23">
        <v>0</v>
      </c>
      <c r="DE80" s="23">
        <v>0</v>
      </c>
      <c r="DF80" s="23">
        <v>0</v>
      </c>
      <c r="DG80" s="23">
        <v>0</v>
      </c>
      <c r="DH80" s="23">
        <v>0</v>
      </c>
      <c r="DI80" s="23">
        <v>0</v>
      </c>
      <c r="DJ80" s="23">
        <v>0</v>
      </c>
      <c r="DK80" s="23">
        <v>0</v>
      </c>
      <c r="DL80" s="23">
        <v>0</v>
      </c>
      <c r="DM80" s="23">
        <v>0</v>
      </c>
      <c r="DN80" s="23">
        <v>0</v>
      </c>
      <c r="DO80" s="23">
        <v>0</v>
      </c>
      <c r="DP80" s="23">
        <v>0</v>
      </c>
      <c r="DQ80" s="23">
        <v>0</v>
      </c>
      <c r="DR80" s="23">
        <v>0</v>
      </c>
      <c r="DS80" s="23">
        <v>0</v>
      </c>
      <c r="DT80" s="23">
        <v>0</v>
      </c>
      <c r="DU80" s="23">
        <v>0</v>
      </c>
      <c r="DV80" s="23">
        <v>0</v>
      </c>
      <c r="DW80" s="23">
        <v>0</v>
      </c>
      <c r="DX80" s="23">
        <v>0</v>
      </c>
      <c r="DY80" s="23">
        <v>0</v>
      </c>
      <c r="DZ80" s="23">
        <v>0</v>
      </c>
      <c r="EA80" s="23">
        <v>0</v>
      </c>
      <c r="EB80" s="23">
        <v>0</v>
      </c>
      <c r="EC80" s="23">
        <v>0</v>
      </c>
      <c r="ED80" s="23">
        <v>0</v>
      </c>
      <c r="EE80" s="23">
        <v>0</v>
      </c>
      <c r="EF80" s="23">
        <v>0</v>
      </c>
      <c r="EG80" s="23">
        <v>0</v>
      </c>
      <c r="EH80" s="23">
        <v>0.625</v>
      </c>
      <c r="EI80" s="23" cm="1">
        <f t="array" ref="EI80">VLOOKUP(A80,'Opponent List'!$A1:$P137,16,FALSE)</f>
        <v>-1.79451258423881</v>
      </c>
      <c r="EJ80" s="23">
        <v>-1.16950431848081</v>
      </c>
    </row>
    <row r="81" ht="13.55" customHeight="1">
      <c r="A81" t="s" s="7">
        <v>5</v>
      </c>
      <c r="B81" s="22">
        <v>0.875</v>
      </c>
      <c r="C81" s="23">
        <v>0</v>
      </c>
      <c r="D81" s="23">
        <v>0</v>
      </c>
      <c r="E81" s="23">
        <v>0</v>
      </c>
      <c r="F81" s="23">
        <v>0</v>
      </c>
      <c r="G81" s="23">
        <v>0.875</v>
      </c>
      <c r="H81" s="23">
        <v>1.125</v>
      </c>
      <c r="I81" s="23">
        <v>0</v>
      </c>
      <c r="J81" s="23">
        <v>0</v>
      </c>
      <c r="K81" s="23">
        <v>0</v>
      </c>
      <c r="L81" s="23">
        <v>1.125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0.875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0</v>
      </c>
      <c r="AV81" s="23">
        <v>0</v>
      </c>
      <c r="AW81" s="23">
        <v>0</v>
      </c>
      <c r="AX81" s="23">
        <v>0</v>
      </c>
      <c r="AY81" s="23">
        <v>0</v>
      </c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v>0</v>
      </c>
      <c r="BQ81" s="23">
        <v>0</v>
      </c>
      <c r="BR81" s="23">
        <v>0</v>
      </c>
      <c r="BS81" s="23">
        <v>0</v>
      </c>
      <c r="BT81" s="23">
        <v>0</v>
      </c>
      <c r="BU81" s="23">
        <v>0</v>
      </c>
      <c r="BV81" s="23">
        <v>0</v>
      </c>
      <c r="BW81" s="23">
        <v>0</v>
      </c>
      <c r="BX81" s="23">
        <v>0</v>
      </c>
      <c r="BY81" s="23">
        <v>0</v>
      </c>
      <c r="BZ81" s="23">
        <v>0</v>
      </c>
      <c r="CA81" s="23">
        <v>0</v>
      </c>
      <c r="CB81" s="23">
        <v>0</v>
      </c>
      <c r="CC81" s="23">
        <v>0</v>
      </c>
      <c r="CD81" s="23">
        <v>0</v>
      </c>
      <c r="CE81" s="23">
        <v>0</v>
      </c>
      <c r="CF81" s="23">
        <v>0</v>
      </c>
      <c r="CG81" s="23">
        <v>0.875</v>
      </c>
      <c r="CH81" s="23">
        <v>0</v>
      </c>
      <c r="CI81" s="23">
        <v>0</v>
      </c>
      <c r="CJ81" s="23">
        <v>0</v>
      </c>
      <c r="CK81" s="23">
        <v>0</v>
      </c>
      <c r="CL81" s="23">
        <v>0</v>
      </c>
      <c r="CM81" s="23">
        <v>0</v>
      </c>
      <c r="CN81" s="23">
        <v>0</v>
      </c>
      <c r="CO81" s="23">
        <v>0</v>
      </c>
      <c r="CP81" s="23">
        <v>0</v>
      </c>
      <c r="CQ81" s="23">
        <v>0</v>
      </c>
      <c r="CR81" s="23">
        <v>0</v>
      </c>
      <c r="CS81" s="23">
        <v>0</v>
      </c>
      <c r="CT81" s="23">
        <v>0</v>
      </c>
      <c r="CU81" s="23">
        <v>0</v>
      </c>
      <c r="CV81" s="23">
        <v>0</v>
      </c>
      <c r="CW81" s="23">
        <v>0</v>
      </c>
      <c r="CX81" s="23">
        <v>0</v>
      </c>
      <c r="CY81" s="23">
        <v>0</v>
      </c>
      <c r="CZ81" s="23">
        <v>0</v>
      </c>
      <c r="DA81" s="23">
        <v>0</v>
      </c>
      <c r="DB81" s="23">
        <v>0</v>
      </c>
      <c r="DC81" s="23">
        <v>0</v>
      </c>
      <c r="DD81" s="23">
        <v>0</v>
      </c>
      <c r="DE81" s="23">
        <v>0</v>
      </c>
      <c r="DF81" s="23">
        <v>0</v>
      </c>
      <c r="DG81" s="23">
        <v>0</v>
      </c>
      <c r="DH81" s="23">
        <v>0</v>
      </c>
      <c r="DI81" s="23">
        <v>0</v>
      </c>
      <c r="DJ81" s="23">
        <v>0</v>
      </c>
      <c r="DK81" s="23">
        <v>0</v>
      </c>
      <c r="DL81" s="23">
        <v>0</v>
      </c>
      <c r="DM81" s="23">
        <v>0</v>
      </c>
      <c r="DN81" s="23">
        <v>0</v>
      </c>
      <c r="DO81" s="23">
        <v>0</v>
      </c>
      <c r="DP81" s="23">
        <v>0</v>
      </c>
      <c r="DQ81" s="23">
        <v>0</v>
      </c>
      <c r="DR81" s="23">
        <v>0</v>
      </c>
      <c r="DS81" s="23">
        <v>0</v>
      </c>
      <c r="DT81" s="23">
        <v>0</v>
      </c>
      <c r="DU81" s="23">
        <v>0</v>
      </c>
      <c r="DV81" s="23">
        <v>0</v>
      </c>
      <c r="DW81" s="23">
        <v>0</v>
      </c>
      <c r="DX81" s="23">
        <v>0</v>
      </c>
      <c r="DY81" s="23">
        <v>0</v>
      </c>
      <c r="DZ81" s="23">
        <v>0</v>
      </c>
      <c r="EA81" s="23">
        <v>0</v>
      </c>
      <c r="EB81" s="23">
        <v>1.125</v>
      </c>
      <c r="EC81" s="23">
        <v>0</v>
      </c>
      <c r="ED81" s="23">
        <v>0</v>
      </c>
      <c r="EE81" s="23">
        <v>0</v>
      </c>
      <c r="EF81" s="23">
        <v>0</v>
      </c>
      <c r="EG81" s="23">
        <v>0</v>
      </c>
      <c r="EH81" s="23">
        <v>6.875</v>
      </c>
      <c r="EI81" s="23" cm="1">
        <f t="array" ref="EI81">VLOOKUP(A81,'Opponent List'!$A1:$P137,16,FALSE)</f>
        <v>0.878631561664197</v>
      </c>
      <c r="EJ81" s="23">
        <v>7.75371529836661</v>
      </c>
    </row>
    <row r="82" ht="13.55" customHeight="1">
      <c r="A82" t="s" s="7">
        <v>16</v>
      </c>
      <c r="B82" s="22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0.875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1.125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-0.875</v>
      </c>
      <c r="AX82" s="23">
        <v>0</v>
      </c>
      <c r="AY82" s="23">
        <v>0</v>
      </c>
      <c r="AZ82" s="23">
        <v>0</v>
      </c>
      <c r="BA82" s="23">
        <v>0</v>
      </c>
      <c r="BB82" s="23">
        <v>0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0</v>
      </c>
      <c r="BQ82" s="23">
        <v>0</v>
      </c>
      <c r="BR82" s="23">
        <v>0.875</v>
      </c>
      <c r="BS82" s="23">
        <v>0</v>
      </c>
      <c r="BT82" s="23">
        <v>0</v>
      </c>
      <c r="BU82" s="23">
        <v>0</v>
      </c>
      <c r="BV82" s="23">
        <v>0</v>
      </c>
      <c r="BW82" s="23">
        <v>0</v>
      </c>
      <c r="BX82" s="23">
        <v>0</v>
      </c>
      <c r="BY82" s="23">
        <v>0</v>
      </c>
      <c r="BZ82" s="23">
        <v>0</v>
      </c>
      <c r="CA82" s="23">
        <v>0</v>
      </c>
      <c r="CB82" s="23">
        <v>0</v>
      </c>
      <c r="CC82" s="23">
        <v>0</v>
      </c>
      <c r="CD82" s="23">
        <v>0</v>
      </c>
      <c r="CE82" s="23">
        <v>0</v>
      </c>
      <c r="CF82" s="23">
        <v>0</v>
      </c>
      <c r="CG82" s="23">
        <v>0</v>
      </c>
      <c r="CH82" s="23">
        <v>1.125</v>
      </c>
      <c r="CI82" s="23">
        <v>0</v>
      </c>
      <c r="CJ82" s="23">
        <v>0</v>
      </c>
      <c r="CK82" s="23">
        <v>0</v>
      </c>
      <c r="CL82" s="23">
        <v>0</v>
      </c>
      <c r="CM82" s="23">
        <v>0</v>
      </c>
      <c r="CN82" s="23">
        <v>0</v>
      </c>
      <c r="CO82" s="23">
        <v>0</v>
      </c>
      <c r="CP82" s="23">
        <v>1.125</v>
      </c>
      <c r="CQ82" s="23">
        <v>0</v>
      </c>
      <c r="CR82" s="23">
        <v>0</v>
      </c>
      <c r="CS82" s="23">
        <v>0</v>
      </c>
      <c r="CT82" s="23">
        <v>0</v>
      </c>
      <c r="CU82" s="23">
        <v>0</v>
      </c>
      <c r="CV82" s="23">
        <v>0</v>
      </c>
      <c r="CW82" s="23">
        <v>0</v>
      </c>
      <c r="CX82" s="23">
        <v>0</v>
      </c>
      <c r="CY82" s="23">
        <v>0</v>
      </c>
      <c r="CZ82" s="23">
        <v>0</v>
      </c>
      <c r="DA82" s="23">
        <v>0</v>
      </c>
      <c r="DB82" s="23">
        <v>0</v>
      </c>
      <c r="DC82" s="23">
        <v>0</v>
      </c>
      <c r="DD82" s="23">
        <v>0</v>
      </c>
      <c r="DE82" s="23">
        <v>0</v>
      </c>
      <c r="DF82" s="23">
        <v>0</v>
      </c>
      <c r="DG82" s="23">
        <v>0</v>
      </c>
      <c r="DH82" s="23">
        <v>0</v>
      </c>
      <c r="DI82" s="23">
        <v>0</v>
      </c>
      <c r="DJ82" s="23">
        <v>0</v>
      </c>
      <c r="DK82" s="23">
        <v>0</v>
      </c>
      <c r="DL82" s="23">
        <v>0</v>
      </c>
      <c r="DM82" s="23">
        <v>0</v>
      </c>
      <c r="DN82" s="23">
        <v>0</v>
      </c>
      <c r="DO82" s="23">
        <v>0</v>
      </c>
      <c r="DP82" s="23">
        <v>0</v>
      </c>
      <c r="DQ82" s="23">
        <v>0</v>
      </c>
      <c r="DR82" s="23">
        <v>0</v>
      </c>
      <c r="DS82" s="23">
        <v>0</v>
      </c>
      <c r="DT82" s="23">
        <v>0</v>
      </c>
      <c r="DU82" s="23">
        <v>0</v>
      </c>
      <c r="DV82" s="23">
        <v>0</v>
      </c>
      <c r="DW82" s="23">
        <v>0</v>
      </c>
      <c r="DX82" s="23">
        <v>0</v>
      </c>
      <c r="DY82" s="23">
        <v>0</v>
      </c>
      <c r="DZ82" s="23">
        <v>0</v>
      </c>
      <c r="EA82" s="23">
        <v>0</v>
      </c>
      <c r="EB82" s="23">
        <v>0</v>
      </c>
      <c r="EC82" s="23">
        <v>0</v>
      </c>
      <c r="ED82" s="23">
        <v>0</v>
      </c>
      <c r="EE82" s="23">
        <v>0</v>
      </c>
      <c r="EF82" s="23">
        <v>0</v>
      </c>
      <c r="EG82" s="23">
        <v>1.125</v>
      </c>
      <c r="EH82" s="23">
        <v>5.375</v>
      </c>
      <c r="EI82" s="23" cm="1">
        <f t="array" ref="EI82">VLOOKUP(A82,'Opponent List'!$A1:$P137,16,FALSE)</f>
        <v>-0.100176951059942</v>
      </c>
      <c r="EJ82" s="23">
        <v>5.27483839422214</v>
      </c>
    </row>
    <row r="83" ht="13.55" customHeight="1">
      <c r="A83" t="s" s="7">
        <v>83</v>
      </c>
      <c r="B83" s="22">
        <v>0</v>
      </c>
      <c r="C83" s="23">
        <v>1.125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-0.875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-0.875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3">
        <v>0</v>
      </c>
      <c r="AS83" s="23">
        <v>0</v>
      </c>
      <c r="AT83" s="23">
        <v>0</v>
      </c>
      <c r="AU83" s="23">
        <v>0</v>
      </c>
      <c r="AV83" s="23">
        <v>0</v>
      </c>
      <c r="AW83" s="23">
        <v>0</v>
      </c>
      <c r="AX83" s="23">
        <v>0</v>
      </c>
      <c r="AY83" s="23">
        <v>0</v>
      </c>
      <c r="AZ83" s="23">
        <v>0</v>
      </c>
      <c r="BA83" s="23">
        <v>0</v>
      </c>
      <c r="BB83" s="23">
        <v>0</v>
      </c>
      <c r="BC83" s="23">
        <v>0</v>
      </c>
      <c r="BD83" s="23">
        <v>0</v>
      </c>
      <c r="BE83" s="23">
        <v>0</v>
      </c>
      <c r="BF83" s="23">
        <v>0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-1.125</v>
      </c>
      <c r="BM83" s="23">
        <v>0</v>
      </c>
      <c r="BN83" s="23">
        <v>0</v>
      </c>
      <c r="BO83" s="23">
        <v>0</v>
      </c>
      <c r="BP83" s="23">
        <v>0</v>
      </c>
      <c r="BQ83" s="23">
        <v>0</v>
      </c>
      <c r="BR83" s="23">
        <v>0</v>
      </c>
      <c r="BS83" s="23">
        <v>0</v>
      </c>
      <c r="BT83" s="23">
        <v>0.875</v>
      </c>
      <c r="BU83" s="23">
        <v>0</v>
      </c>
      <c r="BV83" s="23">
        <v>0</v>
      </c>
      <c r="BW83" s="23">
        <v>0</v>
      </c>
      <c r="BX83" s="23">
        <v>0</v>
      </c>
      <c r="BY83" s="23">
        <v>0</v>
      </c>
      <c r="BZ83" s="23">
        <v>0</v>
      </c>
      <c r="CA83" s="23">
        <v>0</v>
      </c>
      <c r="CB83" s="23">
        <v>0</v>
      </c>
      <c r="CC83" s="23">
        <v>0</v>
      </c>
      <c r="CD83" s="23">
        <v>0</v>
      </c>
      <c r="CE83" s="23">
        <v>0</v>
      </c>
      <c r="CF83" s="23">
        <v>0</v>
      </c>
      <c r="CG83" s="23">
        <v>0</v>
      </c>
      <c r="CH83" s="23">
        <v>0</v>
      </c>
      <c r="CI83" s="23">
        <v>0</v>
      </c>
      <c r="CJ83" s="23">
        <v>0</v>
      </c>
      <c r="CK83" s="23">
        <v>0</v>
      </c>
      <c r="CL83" s="23">
        <v>0</v>
      </c>
      <c r="CM83" s="23">
        <v>0</v>
      </c>
      <c r="CN83" s="23">
        <v>0</v>
      </c>
      <c r="CO83" s="23">
        <v>0</v>
      </c>
      <c r="CP83" s="23">
        <v>0</v>
      </c>
      <c r="CQ83" s="23">
        <v>0</v>
      </c>
      <c r="CR83" s="23">
        <v>0</v>
      </c>
      <c r="CS83" s="23">
        <v>0</v>
      </c>
      <c r="CT83" s="23">
        <v>0</v>
      </c>
      <c r="CU83" s="23">
        <v>1.125</v>
      </c>
      <c r="CV83" s="23">
        <v>0</v>
      </c>
      <c r="CW83" s="23">
        <v>0</v>
      </c>
      <c r="CX83" s="23">
        <v>0</v>
      </c>
      <c r="CY83" s="23">
        <v>0</v>
      </c>
      <c r="CZ83" s="23">
        <v>0</v>
      </c>
      <c r="DA83" s="23">
        <v>0</v>
      </c>
      <c r="DB83" s="23">
        <v>0</v>
      </c>
      <c r="DC83" s="23">
        <v>0</v>
      </c>
      <c r="DD83" s="23">
        <v>0</v>
      </c>
      <c r="DE83" s="23">
        <v>0</v>
      </c>
      <c r="DF83" s="23">
        <v>0</v>
      </c>
      <c r="DG83" s="23">
        <v>0</v>
      </c>
      <c r="DH83" s="23">
        <v>0</v>
      </c>
      <c r="DI83" s="23">
        <v>0</v>
      </c>
      <c r="DJ83" s="23">
        <v>0</v>
      </c>
      <c r="DK83" s="23">
        <v>0</v>
      </c>
      <c r="DL83" s="23">
        <v>0</v>
      </c>
      <c r="DM83" s="23">
        <v>0</v>
      </c>
      <c r="DN83" s="23">
        <v>0</v>
      </c>
      <c r="DO83" s="23">
        <v>0</v>
      </c>
      <c r="DP83" s="23">
        <v>0</v>
      </c>
      <c r="DQ83" s="23">
        <v>0</v>
      </c>
      <c r="DR83" s="23">
        <v>0</v>
      </c>
      <c r="DS83" s="23">
        <v>0</v>
      </c>
      <c r="DT83" s="23">
        <v>0</v>
      </c>
      <c r="DU83" s="23">
        <v>0</v>
      </c>
      <c r="DV83" s="23">
        <v>0</v>
      </c>
      <c r="DW83" s="23">
        <v>0</v>
      </c>
      <c r="DX83" s="23">
        <v>0</v>
      </c>
      <c r="DY83" s="23">
        <v>0</v>
      </c>
      <c r="DZ83" s="23">
        <v>0</v>
      </c>
      <c r="EA83" s="23">
        <v>0</v>
      </c>
      <c r="EB83" s="23">
        <v>0</v>
      </c>
      <c r="EC83" s="23">
        <v>-0.875</v>
      </c>
      <c r="ED83" s="23">
        <v>0</v>
      </c>
      <c r="EE83" s="23">
        <v>0</v>
      </c>
      <c r="EF83" s="23">
        <v>0</v>
      </c>
      <c r="EG83" s="23">
        <v>0</v>
      </c>
      <c r="EH83" s="23">
        <v>-0.625</v>
      </c>
      <c r="EI83" s="23" cm="1">
        <f t="array" ref="EI83">VLOOKUP(A83,'Opponent List'!$A1:$P137,16,FALSE)</f>
        <v>-0.41728106229768</v>
      </c>
      <c r="EJ83" s="23">
        <v>-1.04226754877399</v>
      </c>
    </row>
    <row r="84" ht="13.55" customHeight="1">
      <c r="A84" t="s" s="7">
        <v>114</v>
      </c>
      <c r="B84" s="22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-1.125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1.125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3">
        <v>0</v>
      </c>
      <c r="BT84" s="23">
        <v>0</v>
      </c>
      <c r="BU84" s="23">
        <v>0</v>
      </c>
      <c r="BV84" s="23">
        <v>0</v>
      </c>
      <c r="BW84" s="23">
        <v>0</v>
      </c>
      <c r="BX84" s="23">
        <v>0</v>
      </c>
      <c r="BY84" s="23">
        <v>0</v>
      </c>
      <c r="BZ84" s="23">
        <v>0</v>
      </c>
      <c r="CA84" s="23">
        <v>-1.125</v>
      </c>
      <c r="CB84" s="23">
        <v>0</v>
      </c>
      <c r="CC84" s="23">
        <v>0</v>
      </c>
      <c r="CD84" s="23">
        <v>0</v>
      </c>
      <c r="CE84" s="23">
        <v>0</v>
      </c>
      <c r="CF84" s="23">
        <v>0</v>
      </c>
      <c r="CG84" s="23">
        <v>-1.125</v>
      </c>
      <c r="CH84" s="23">
        <v>0</v>
      </c>
      <c r="CI84" s="23">
        <v>0</v>
      </c>
      <c r="CJ84" s="23">
        <v>0</v>
      </c>
      <c r="CK84" s="23">
        <v>0</v>
      </c>
      <c r="CL84" s="23">
        <v>0</v>
      </c>
      <c r="CM84" s="23">
        <v>0</v>
      </c>
      <c r="CN84" s="23">
        <v>0</v>
      </c>
      <c r="CO84" s="23">
        <v>0</v>
      </c>
      <c r="CP84" s="23">
        <v>0</v>
      </c>
      <c r="CQ84" s="23">
        <v>0</v>
      </c>
      <c r="CR84" s="23">
        <v>0</v>
      </c>
      <c r="CS84" s="23">
        <v>0</v>
      </c>
      <c r="CT84" s="23">
        <v>0</v>
      </c>
      <c r="CU84" s="23">
        <v>0</v>
      </c>
      <c r="CV84" s="23">
        <v>0</v>
      </c>
      <c r="CW84" s="23">
        <v>0</v>
      </c>
      <c r="CX84" s="23">
        <v>0</v>
      </c>
      <c r="CY84" s="23">
        <v>0</v>
      </c>
      <c r="CZ84" s="23">
        <v>0</v>
      </c>
      <c r="DA84" s="23">
        <v>0</v>
      </c>
      <c r="DB84" s="23">
        <v>-0.875</v>
      </c>
      <c r="DC84" s="23">
        <v>0</v>
      </c>
      <c r="DD84" s="23">
        <v>0</v>
      </c>
      <c r="DE84" s="23">
        <v>0</v>
      </c>
      <c r="DF84" s="23">
        <v>0</v>
      </c>
      <c r="DG84" s="23">
        <v>0</v>
      </c>
      <c r="DH84" s="23">
        <v>0</v>
      </c>
      <c r="DI84" s="23">
        <v>0</v>
      </c>
      <c r="DJ84" s="23">
        <v>0</v>
      </c>
      <c r="DK84" s="23">
        <v>0</v>
      </c>
      <c r="DL84" s="23">
        <v>0</v>
      </c>
      <c r="DM84" s="23">
        <v>0</v>
      </c>
      <c r="DN84" s="23">
        <v>0</v>
      </c>
      <c r="DO84" s="23">
        <v>-1.125</v>
      </c>
      <c r="DP84" s="23">
        <v>0</v>
      </c>
      <c r="DQ84" s="23">
        <v>0</v>
      </c>
      <c r="DR84" s="23">
        <v>0</v>
      </c>
      <c r="DS84" s="23">
        <v>0</v>
      </c>
      <c r="DT84" s="23">
        <v>0</v>
      </c>
      <c r="DU84" s="23">
        <v>0</v>
      </c>
      <c r="DV84" s="23">
        <v>0</v>
      </c>
      <c r="DW84" s="23">
        <v>0</v>
      </c>
      <c r="DX84" s="23">
        <v>0</v>
      </c>
      <c r="DY84" s="23">
        <v>0</v>
      </c>
      <c r="DZ84" s="23">
        <v>0.875</v>
      </c>
      <c r="EA84" s="23">
        <v>0</v>
      </c>
      <c r="EB84" s="23">
        <v>0</v>
      </c>
      <c r="EC84" s="23">
        <v>0</v>
      </c>
      <c r="ED84" s="23">
        <v>0</v>
      </c>
      <c r="EE84" s="23">
        <v>0</v>
      </c>
      <c r="EF84" s="23">
        <v>0</v>
      </c>
      <c r="EG84" s="23">
        <v>0</v>
      </c>
      <c r="EH84" s="23">
        <v>-3.375</v>
      </c>
      <c r="EI84" s="23" cm="1">
        <f t="array" ref="EI84">VLOOKUP(A84,'Opponent List'!$A1:$P137,16,FALSE)</f>
        <v>-0.114586189124175</v>
      </c>
      <c r="EJ84" s="23">
        <v>-3.48946206869539</v>
      </c>
    </row>
    <row r="85" ht="13.55" customHeight="1">
      <c r="A85" t="s" s="7">
        <v>11</v>
      </c>
      <c r="B85" s="22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1.125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3">
        <v>1.125</v>
      </c>
      <c r="AU85" s="23">
        <v>0</v>
      </c>
      <c r="AV85" s="23">
        <v>0</v>
      </c>
      <c r="AW85" s="23">
        <v>0.875</v>
      </c>
      <c r="AX85" s="23">
        <v>0</v>
      </c>
      <c r="AY85" s="23">
        <v>0</v>
      </c>
      <c r="AZ85" s="23">
        <v>0</v>
      </c>
      <c r="BA85" s="23">
        <v>0</v>
      </c>
      <c r="BB85" s="23">
        <v>0</v>
      </c>
      <c r="BC85" s="23">
        <v>0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v>0</v>
      </c>
      <c r="BQ85" s="23">
        <v>0</v>
      </c>
      <c r="BR85" s="23">
        <v>0</v>
      </c>
      <c r="BS85" s="23">
        <v>0</v>
      </c>
      <c r="BT85" s="23">
        <v>0</v>
      </c>
      <c r="BU85" s="23">
        <v>0</v>
      </c>
      <c r="BV85" s="23">
        <v>0</v>
      </c>
      <c r="BW85" s="23">
        <v>0</v>
      </c>
      <c r="BX85" s="23">
        <v>0</v>
      </c>
      <c r="BY85" s="23">
        <v>0</v>
      </c>
      <c r="BZ85" s="23">
        <v>0</v>
      </c>
      <c r="CA85" s="23">
        <v>0</v>
      </c>
      <c r="CB85" s="23">
        <v>0</v>
      </c>
      <c r="CC85" s="23">
        <v>-0.875</v>
      </c>
      <c r="CD85" s="23">
        <v>0</v>
      </c>
      <c r="CE85" s="23">
        <v>0</v>
      </c>
      <c r="CF85" s="23">
        <v>1.125</v>
      </c>
      <c r="CG85" s="23">
        <v>0</v>
      </c>
      <c r="CH85" s="23">
        <v>0</v>
      </c>
      <c r="CI85" s="23">
        <v>0</v>
      </c>
      <c r="CJ85" s="23">
        <v>-0.875</v>
      </c>
      <c r="CK85" s="23">
        <v>0</v>
      </c>
      <c r="CL85" s="23">
        <v>0</v>
      </c>
      <c r="CM85" s="23">
        <v>0</v>
      </c>
      <c r="CN85" s="23">
        <v>0</v>
      </c>
      <c r="CO85" s="23">
        <v>0</v>
      </c>
      <c r="CP85" s="23">
        <v>0</v>
      </c>
      <c r="CQ85" s="23">
        <v>0</v>
      </c>
      <c r="CR85" s="23">
        <v>0</v>
      </c>
      <c r="CS85" s="23">
        <v>0</v>
      </c>
      <c r="CT85" s="23">
        <v>0</v>
      </c>
      <c r="CU85" s="23">
        <v>0</v>
      </c>
      <c r="CV85" s="23">
        <v>0</v>
      </c>
      <c r="CW85" s="23">
        <v>0</v>
      </c>
      <c r="CX85" s="23">
        <v>0</v>
      </c>
      <c r="CY85" s="23">
        <v>0</v>
      </c>
      <c r="CZ85" s="23">
        <v>0</v>
      </c>
      <c r="DA85" s="23">
        <v>0</v>
      </c>
      <c r="DB85" s="23">
        <v>0</v>
      </c>
      <c r="DC85" s="23">
        <v>0</v>
      </c>
      <c r="DD85" s="23">
        <v>0</v>
      </c>
      <c r="DE85" s="23">
        <v>0</v>
      </c>
      <c r="DF85" s="23">
        <v>0</v>
      </c>
      <c r="DG85" s="23">
        <v>0</v>
      </c>
      <c r="DH85" s="23">
        <v>0</v>
      </c>
      <c r="DI85" s="23">
        <v>0</v>
      </c>
      <c r="DJ85" s="23">
        <v>0</v>
      </c>
      <c r="DK85" s="23">
        <v>0</v>
      </c>
      <c r="DL85" s="23">
        <v>0</v>
      </c>
      <c r="DM85" s="23">
        <v>0</v>
      </c>
      <c r="DN85" s="23">
        <v>0</v>
      </c>
      <c r="DO85" s="23">
        <v>0</v>
      </c>
      <c r="DP85" s="23">
        <v>0</v>
      </c>
      <c r="DQ85" s="23">
        <v>0</v>
      </c>
      <c r="DR85" s="23">
        <v>0</v>
      </c>
      <c r="DS85" s="23">
        <v>0</v>
      </c>
      <c r="DT85" s="23">
        <v>0</v>
      </c>
      <c r="DU85" s="23">
        <v>0</v>
      </c>
      <c r="DV85" s="23">
        <v>0</v>
      </c>
      <c r="DW85" s="23">
        <v>0</v>
      </c>
      <c r="DX85" s="23">
        <v>0</v>
      </c>
      <c r="DY85" s="23">
        <v>0</v>
      </c>
      <c r="DZ85" s="23">
        <v>0</v>
      </c>
      <c r="EA85" s="23">
        <v>0</v>
      </c>
      <c r="EB85" s="23">
        <v>0</v>
      </c>
      <c r="EC85" s="23">
        <v>0</v>
      </c>
      <c r="ED85" s="23">
        <v>0</v>
      </c>
      <c r="EE85" s="23">
        <v>0</v>
      </c>
      <c r="EF85" s="23">
        <v>1.125</v>
      </c>
      <c r="EG85" s="23">
        <v>0</v>
      </c>
      <c r="EH85" s="23">
        <v>3.625</v>
      </c>
      <c r="EI85" s="23" cm="1">
        <f t="array" ref="EI85">VLOOKUP(A85,'Opponent List'!$A1:$P137,16,FALSE)</f>
        <v>2.0472046551699</v>
      </c>
      <c r="EJ85" s="23">
        <v>5.67199536229164</v>
      </c>
    </row>
    <row r="86" ht="13.55" customHeight="1">
      <c r="A86" t="s" s="7">
        <v>70</v>
      </c>
      <c r="B86" s="22">
        <v>0</v>
      </c>
      <c r="C86" s="23">
        <v>0</v>
      </c>
      <c r="D86" s="23">
        <v>-0.875</v>
      </c>
      <c r="E86" s="23">
        <v>0</v>
      </c>
      <c r="F86" s="23">
        <v>0.875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-1.125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-1.125</v>
      </c>
      <c r="AI86" s="23">
        <v>0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3">
        <v>0</v>
      </c>
      <c r="AU86" s="23">
        <v>0</v>
      </c>
      <c r="AV86" s="23">
        <v>0</v>
      </c>
      <c r="AW86" s="23">
        <v>0</v>
      </c>
      <c r="AX86" s="23">
        <v>0</v>
      </c>
      <c r="AY86" s="23">
        <v>0</v>
      </c>
      <c r="AZ86" s="23">
        <v>0</v>
      </c>
      <c r="BA86" s="23">
        <v>0</v>
      </c>
      <c r="BB86" s="23">
        <v>0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v>0</v>
      </c>
      <c r="BQ86" s="23">
        <v>0</v>
      </c>
      <c r="BR86" s="23">
        <v>0</v>
      </c>
      <c r="BS86" s="23">
        <v>0</v>
      </c>
      <c r="BT86" s="23">
        <v>-1.125</v>
      </c>
      <c r="BU86" s="23">
        <v>0</v>
      </c>
      <c r="BV86" s="23">
        <v>0</v>
      </c>
      <c r="BW86" s="23">
        <v>0</v>
      </c>
      <c r="BX86" s="23">
        <v>0</v>
      </c>
      <c r="BY86" s="23">
        <v>0</v>
      </c>
      <c r="BZ86" s="23">
        <v>0</v>
      </c>
      <c r="CA86" s="23">
        <v>0</v>
      </c>
      <c r="CB86" s="23">
        <v>0</v>
      </c>
      <c r="CC86" s="23">
        <v>0</v>
      </c>
      <c r="CD86" s="23">
        <v>-1.125</v>
      </c>
      <c r="CE86" s="23">
        <v>0</v>
      </c>
      <c r="CF86" s="23">
        <v>0</v>
      </c>
      <c r="CG86" s="23">
        <v>0</v>
      </c>
      <c r="CH86" s="23">
        <v>0</v>
      </c>
      <c r="CI86" s="23">
        <v>0</v>
      </c>
      <c r="CJ86" s="23">
        <v>0</v>
      </c>
      <c r="CK86" s="23">
        <v>0</v>
      </c>
      <c r="CL86" s="23">
        <v>0</v>
      </c>
      <c r="CM86" s="23">
        <v>0</v>
      </c>
      <c r="CN86" s="23">
        <v>0</v>
      </c>
      <c r="CO86" s="23">
        <v>0</v>
      </c>
      <c r="CP86" s="23">
        <v>0</v>
      </c>
      <c r="CQ86" s="23">
        <v>0</v>
      </c>
      <c r="CR86" s="23">
        <v>0</v>
      </c>
      <c r="CS86" s="23">
        <v>0</v>
      </c>
      <c r="CT86" s="23">
        <v>0</v>
      </c>
      <c r="CU86" s="23">
        <v>0</v>
      </c>
      <c r="CV86" s="23">
        <v>0</v>
      </c>
      <c r="CW86" s="23">
        <v>0</v>
      </c>
      <c r="CX86" s="23">
        <v>0</v>
      </c>
      <c r="CY86" s="23">
        <v>0</v>
      </c>
      <c r="CZ86" s="23">
        <v>0</v>
      </c>
      <c r="DA86" s="23">
        <v>0</v>
      </c>
      <c r="DB86" s="23">
        <v>0</v>
      </c>
      <c r="DC86" s="23">
        <v>0</v>
      </c>
      <c r="DD86" s="23">
        <v>0</v>
      </c>
      <c r="DE86" s="23">
        <v>0</v>
      </c>
      <c r="DF86" s="23">
        <v>0</v>
      </c>
      <c r="DG86" s="23">
        <v>0</v>
      </c>
      <c r="DH86" s="23">
        <v>0</v>
      </c>
      <c r="DI86" s="23">
        <v>0</v>
      </c>
      <c r="DJ86" s="23">
        <v>0</v>
      </c>
      <c r="DK86" s="23">
        <v>0</v>
      </c>
      <c r="DL86" s="23">
        <v>0</v>
      </c>
      <c r="DM86" s="23">
        <v>0</v>
      </c>
      <c r="DN86" s="23">
        <v>0</v>
      </c>
      <c r="DO86" s="23">
        <v>0</v>
      </c>
      <c r="DP86" s="23">
        <v>0</v>
      </c>
      <c r="DQ86" s="23">
        <v>0</v>
      </c>
      <c r="DR86" s="23">
        <v>0</v>
      </c>
      <c r="DS86" s="23">
        <v>0</v>
      </c>
      <c r="DT86" s="23">
        <v>0</v>
      </c>
      <c r="DU86" s="23">
        <v>0</v>
      </c>
      <c r="DV86" s="23">
        <v>0</v>
      </c>
      <c r="DW86" s="23">
        <v>0</v>
      </c>
      <c r="DX86" s="23">
        <v>0</v>
      </c>
      <c r="DY86" s="23">
        <v>0.875</v>
      </c>
      <c r="DZ86" s="23">
        <v>0</v>
      </c>
      <c r="EA86" s="23">
        <v>0</v>
      </c>
      <c r="EB86" s="23">
        <v>0</v>
      </c>
      <c r="EC86" s="23">
        <v>0</v>
      </c>
      <c r="ED86" s="23">
        <v>0</v>
      </c>
      <c r="EE86" s="23">
        <v>0</v>
      </c>
      <c r="EF86" s="23">
        <v>0</v>
      </c>
      <c r="EG86" s="23">
        <v>0</v>
      </c>
      <c r="EH86" s="23">
        <v>-3.625</v>
      </c>
      <c r="EI86" s="23" cm="1">
        <f t="array" ref="EI86">VLOOKUP(A86,'Opponent List'!$A1:$P137,16,FALSE)</f>
        <v>3.76860342241876</v>
      </c>
      <c r="EJ86" s="23">
        <v>0.14360151048081</v>
      </c>
    </row>
    <row r="87" ht="13.55" customHeight="1">
      <c r="A87" t="s" s="7">
        <v>113</v>
      </c>
      <c r="B87" s="22">
        <v>-1.125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0.875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-1.125</v>
      </c>
      <c r="AO87" s="23">
        <v>0</v>
      </c>
      <c r="AP87" s="23">
        <v>0</v>
      </c>
      <c r="AQ87" s="23">
        <v>0</v>
      </c>
      <c r="AR87" s="23">
        <v>0</v>
      </c>
      <c r="AS87" s="23">
        <v>0</v>
      </c>
      <c r="AT87" s="23">
        <v>0</v>
      </c>
      <c r="AU87" s="23">
        <v>0</v>
      </c>
      <c r="AV87" s="23">
        <v>0</v>
      </c>
      <c r="AW87" s="23">
        <v>0</v>
      </c>
      <c r="AX87" s="23">
        <v>0</v>
      </c>
      <c r="AY87" s="23">
        <v>0</v>
      </c>
      <c r="AZ87" s="23">
        <v>-1.125</v>
      </c>
      <c r="BA87" s="23">
        <v>0</v>
      </c>
      <c r="BB87" s="23">
        <v>-0.875</v>
      </c>
      <c r="BC87" s="23">
        <v>0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v>0</v>
      </c>
      <c r="BQ87" s="23">
        <v>0</v>
      </c>
      <c r="BR87" s="23">
        <v>0</v>
      </c>
      <c r="BS87" s="23">
        <v>0</v>
      </c>
      <c r="BT87" s="23">
        <v>-0.875</v>
      </c>
      <c r="BU87" s="23">
        <v>0</v>
      </c>
      <c r="BV87" s="23">
        <v>0</v>
      </c>
      <c r="BW87" s="23">
        <v>0</v>
      </c>
      <c r="BX87" s="23">
        <v>0</v>
      </c>
      <c r="BY87" s="23">
        <v>0</v>
      </c>
      <c r="BZ87" s="23">
        <v>0</v>
      </c>
      <c r="CA87" s="23">
        <v>0</v>
      </c>
      <c r="CB87" s="23">
        <v>0</v>
      </c>
      <c r="CC87" s="23">
        <v>0</v>
      </c>
      <c r="CD87" s="23">
        <v>0</v>
      </c>
      <c r="CE87" s="23">
        <v>0</v>
      </c>
      <c r="CF87" s="23">
        <v>0</v>
      </c>
      <c r="CG87" s="23">
        <v>0</v>
      </c>
      <c r="CH87" s="23">
        <v>0</v>
      </c>
      <c r="CI87" s="23">
        <v>0</v>
      </c>
      <c r="CJ87" s="23">
        <v>0</v>
      </c>
      <c r="CK87" s="23">
        <v>0</v>
      </c>
      <c r="CL87" s="23">
        <v>0</v>
      </c>
      <c r="CM87" s="23">
        <v>0.875</v>
      </c>
      <c r="CN87" s="23">
        <v>0</v>
      </c>
      <c r="CO87" s="23">
        <v>0</v>
      </c>
      <c r="CP87" s="23">
        <v>0</v>
      </c>
      <c r="CQ87" s="23">
        <v>0</v>
      </c>
      <c r="CR87" s="23">
        <v>0</v>
      </c>
      <c r="CS87" s="23">
        <v>0</v>
      </c>
      <c r="CT87" s="23">
        <v>0</v>
      </c>
      <c r="CU87" s="23">
        <v>0</v>
      </c>
      <c r="CV87" s="23">
        <v>0</v>
      </c>
      <c r="CW87" s="23">
        <v>0</v>
      </c>
      <c r="CX87" s="23">
        <v>0</v>
      </c>
      <c r="CY87" s="23">
        <v>0</v>
      </c>
      <c r="CZ87" s="23">
        <v>0</v>
      </c>
      <c r="DA87" s="23">
        <v>0</v>
      </c>
      <c r="DB87" s="23">
        <v>0</v>
      </c>
      <c r="DC87" s="23">
        <v>0</v>
      </c>
      <c r="DD87" s="23">
        <v>0</v>
      </c>
      <c r="DE87" s="23">
        <v>0</v>
      </c>
      <c r="DF87" s="23">
        <v>0</v>
      </c>
      <c r="DG87" s="23">
        <v>0</v>
      </c>
      <c r="DH87" s="23">
        <v>0</v>
      </c>
      <c r="DI87" s="23">
        <v>0</v>
      </c>
      <c r="DJ87" s="23">
        <v>0</v>
      </c>
      <c r="DK87" s="23">
        <v>0</v>
      </c>
      <c r="DL87" s="23">
        <v>0</v>
      </c>
      <c r="DM87" s="23">
        <v>0</v>
      </c>
      <c r="DN87" s="23">
        <v>0</v>
      </c>
      <c r="DO87" s="23">
        <v>0</v>
      </c>
      <c r="DP87" s="23">
        <v>0</v>
      </c>
      <c r="DQ87" s="23">
        <v>0</v>
      </c>
      <c r="DR87" s="23">
        <v>0</v>
      </c>
      <c r="DS87" s="23">
        <v>0</v>
      </c>
      <c r="DT87" s="23">
        <v>0</v>
      </c>
      <c r="DU87" s="23">
        <v>0</v>
      </c>
      <c r="DV87" s="23">
        <v>0</v>
      </c>
      <c r="DW87" s="23">
        <v>0</v>
      </c>
      <c r="DX87" s="23">
        <v>0</v>
      </c>
      <c r="DY87" s="23">
        <v>0</v>
      </c>
      <c r="DZ87" s="23">
        <v>0</v>
      </c>
      <c r="EA87" s="23">
        <v>0</v>
      </c>
      <c r="EB87" s="23">
        <v>0</v>
      </c>
      <c r="EC87" s="23">
        <v>0</v>
      </c>
      <c r="ED87" s="23">
        <v>0</v>
      </c>
      <c r="EE87" s="23">
        <v>0</v>
      </c>
      <c r="EF87" s="23">
        <v>0</v>
      </c>
      <c r="EG87" s="23">
        <v>0</v>
      </c>
      <c r="EH87" s="23">
        <v>-3.375</v>
      </c>
      <c r="EI87" s="23" cm="1">
        <f t="array" ref="EI87">VLOOKUP(A87,'Opponent List'!$A1:$P137,16,FALSE)</f>
        <v>0.0440047095955557</v>
      </c>
      <c r="EJ87" s="23">
        <v>-3.33099720766006</v>
      </c>
    </row>
    <row r="88" ht="13.55" customHeight="1">
      <c r="A88" t="s" s="7">
        <v>7</v>
      </c>
      <c r="B88" s="22">
        <v>0</v>
      </c>
      <c r="C88" s="23">
        <v>0</v>
      </c>
      <c r="D88" s="23">
        <v>0.875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3">
        <v>0</v>
      </c>
      <c r="AS88" s="23">
        <v>0</v>
      </c>
      <c r="AT88" s="23">
        <v>0</v>
      </c>
      <c r="AU88" s="23">
        <v>0</v>
      </c>
      <c r="AV88" s="23">
        <v>0</v>
      </c>
      <c r="AW88" s="23">
        <v>0</v>
      </c>
      <c r="AX88" s="23">
        <v>0</v>
      </c>
      <c r="AY88" s="23">
        <v>0</v>
      </c>
      <c r="AZ88" s="23">
        <v>0</v>
      </c>
      <c r="BA88" s="23">
        <v>0</v>
      </c>
      <c r="BB88" s="23">
        <v>0</v>
      </c>
      <c r="BC88" s="23">
        <v>0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v>-0.875</v>
      </c>
      <c r="BQ88" s="23">
        <v>0</v>
      </c>
      <c r="BR88" s="23">
        <v>0</v>
      </c>
      <c r="BS88" s="23">
        <v>0.875</v>
      </c>
      <c r="BT88" s="23">
        <v>0</v>
      </c>
      <c r="BU88" s="23">
        <v>0</v>
      </c>
      <c r="BV88" s="23">
        <v>1.125</v>
      </c>
      <c r="BW88" s="23">
        <v>0.875</v>
      </c>
      <c r="BX88" s="23">
        <v>0</v>
      </c>
      <c r="BY88" s="23">
        <v>0</v>
      </c>
      <c r="BZ88" s="23">
        <v>0</v>
      </c>
      <c r="CA88" s="23">
        <v>0</v>
      </c>
      <c r="CB88" s="23">
        <v>0</v>
      </c>
      <c r="CC88" s="23">
        <v>0</v>
      </c>
      <c r="CD88" s="23">
        <v>0</v>
      </c>
      <c r="CE88" s="23">
        <v>0</v>
      </c>
      <c r="CF88" s="23">
        <v>0</v>
      </c>
      <c r="CG88" s="23">
        <v>0.875</v>
      </c>
      <c r="CH88" s="23">
        <v>0</v>
      </c>
      <c r="CI88" s="23">
        <v>0</v>
      </c>
      <c r="CJ88" s="23">
        <v>0</v>
      </c>
      <c r="CK88" s="23">
        <v>0</v>
      </c>
      <c r="CL88" s="23">
        <v>0</v>
      </c>
      <c r="CM88" s="23">
        <v>0.875</v>
      </c>
      <c r="CN88" s="23">
        <v>0</v>
      </c>
      <c r="CO88" s="23">
        <v>0</v>
      </c>
      <c r="CP88" s="23">
        <v>0</v>
      </c>
      <c r="CQ88" s="23">
        <v>0</v>
      </c>
      <c r="CR88" s="23">
        <v>0</v>
      </c>
      <c r="CS88" s="23">
        <v>0</v>
      </c>
      <c r="CT88" s="23">
        <v>0</v>
      </c>
      <c r="CU88" s="23">
        <v>0</v>
      </c>
      <c r="CV88" s="23">
        <v>0</v>
      </c>
      <c r="CW88" s="23">
        <v>0</v>
      </c>
      <c r="CX88" s="23">
        <v>0</v>
      </c>
      <c r="CY88" s="23">
        <v>0</v>
      </c>
      <c r="CZ88" s="23">
        <v>0</v>
      </c>
      <c r="DA88" s="23">
        <v>0</v>
      </c>
      <c r="DB88" s="23">
        <v>0</v>
      </c>
      <c r="DC88" s="23">
        <v>0</v>
      </c>
      <c r="DD88" s="23">
        <v>0</v>
      </c>
      <c r="DE88" s="23">
        <v>0</v>
      </c>
      <c r="DF88" s="23">
        <v>0</v>
      </c>
      <c r="DG88" s="23">
        <v>0</v>
      </c>
      <c r="DH88" s="23">
        <v>0</v>
      </c>
      <c r="DI88" s="23">
        <v>0</v>
      </c>
      <c r="DJ88" s="23">
        <v>0</v>
      </c>
      <c r="DK88" s="23">
        <v>0</v>
      </c>
      <c r="DL88" s="23">
        <v>0</v>
      </c>
      <c r="DM88" s="23">
        <v>0</v>
      </c>
      <c r="DN88" s="23">
        <v>0</v>
      </c>
      <c r="DO88" s="23">
        <v>0</v>
      </c>
      <c r="DP88" s="23">
        <v>0</v>
      </c>
      <c r="DQ88" s="23">
        <v>0</v>
      </c>
      <c r="DR88" s="23">
        <v>0</v>
      </c>
      <c r="DS88" s="23">
        <v>0</v>
      </c>
      <c r="DT88" s="23">
        <v>0</v>
      </c>
      <c r="DU88" s="23">
        <v>0</v>
      </c>
      <c r="DV88" s="23">
        <v>0</v>
      </c>
      <c r="DW88" s="23">
        <v>0</v>
      </c>
      <c r="DX88" s="23">
        <v>0</v>
      </c>
      <c r="DY88" s="23">
        <v>0</v>
      </c>
      <c r="DZ88" s="23">
        <v>0</v>
      </c>
      <c r="EA88" s="23">
        <v>0</v>
      </c>
      <c r="EB88" s="23">
        <v>0</v>
      </c>
      <c r="EC88" s="23">
        <v>0</v>
      </c>
      <c r="ED88" s="23">
        <v>0</v>
      </c>
      <c r="EE88" s="23">
        <v>0</v>
      </c>
      <c r="EF88" s="23">
        <v>0</v>
      </c>
      <c r="EG88" s="23">
        <v>0</v>
      </c>
      <c r="EH88" s="23">
        <v>4.625</v>
      </c>
      <c r="EI88" s="23" cm="1">
        <f t="array" ref="EI88">VLOOKUP(A88,'Opponent List'!$A1:$P137,16,FALSE)</f>
        <v>2.19478149925853</v>
      </c>
      <c r="EJ88" s="23">
        <v>6.81991318008486</v>
      </c>
    </row>
    <row r="89" ht="13.55" customHeight="1">
      <c r="A89" t="s" s="7">
        <v>39</v>
      </c>
      <c r="B89" s="22">
        <v>0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  <c r="AG89" s="23">
        <v>0</v>
      </c>
      <c r="AH89" s="23">
        <v>-0.875</v>
      </c>
      <c r="AI89" s="23">
        <v>0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3">
        <v>0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0</v>
      </c>
      <c r="AY89" s="23">
        <v>0</v>
      </c>
      <c r="AZ89" s="23">
        <v>0</v>
      </c>
      <c r="BA89" s="23">
        <v>0</v>
      </c>
      <c r="BB89" s="23">
        <v>0</v>
      </c>
      <c r="BC89" s="23">
        <v>0</v>
      </c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v>0</v>
      </c>
      <c r="BQ89" s="23">
        <v>0</v>
      </c>
      <c r="BR89" s="23">
        <v>0</v>
      </c>
      <c r="BS89" s="23">
        <v>0</v>
      </c>
      <c r="BT89" s="23">
        <v>0</v>
      </c>
      <c r="BU89" s="23">
        <v>0</v>
      </c>
      <c r="BV89" s="23">
        <v>0</v>
      </c>
      <c r="BW89" s="23">
        <v>0</v>
      </c>
      <c r="BX89" s="23">
        <v>1.125</v>
      </c>
      <c r="BY89" s="23">
        <v>0.875</v>
      </c>
      <c r="BZ89" s="23">
        <v>0</v>
      </c>
      <c r="CA89" s="23">
        <v>0</v>
      </c>
      <c r="CB89" s="23">
        <v>0.875</v>
      </c>
      <c r="CC89" s="23">
        <v>0</v>
      </c>
      <c r="CD89" s="23">
        <v>0</v>
      </c>
      <c r="CE89" s="23">
        <v>0</v>
      </c>
      <c r="CF89" s="23">
        <v>0</v>
      </c>
      <c r="CG89" s="23">
        <v>0</v>
      </c>
      <c r="CH89" s="23">
        <v>0</v>
      </c>
      <c r="CI89" s="23">
        <v>0</v>
      </c>
      <c r="CJ89" s="23">
        <v>0</v>
      </c>
      <c r="CK89" s="23">
        <v>0</v>
      </c>
      <c r="CL89" s="23">
        <v>0</v>
      </c>
      <c r="CM89" s="23">
        <v>0.875</v>
      </c>
      <c r="CN89" s="23">
        <v>0</v>
      </c>
      <c r="CO89" s="23">
        <v>0</v>
      </c>
      <c r="CP89" s="23">
        <v>0</v>
      </c>
      <c r="CQ89" s="23">
        <v>0</v>
      </c>
      <c r="CR89" s="23">
        <v>0</v>
      </c>
      <c r="CS89" s="23">
        <v>0</v>
      </c>
      <c r="CT89" s="23">
        <v>0</v>
      </c>
      <c r="CU89" s="23">
        <v>0</v>
      </c>
      <c r="CV89" s="23">
        <v>0</v>
      </c>
      <c r="CW89" s="23">
        <v>0</v>
      </c>
      <c r="CX89" s="23">
        <v>0</v>
      </c>
      <c r="CY89" s="23">
        <v>0</v>
      </c>
      <c r="CZ89" s="23">
        <v>0</v>
      </c>
      <c r="DA89" s="23">
        <v>0</v>
      </c>
      <c r="DB89" s="23">
        <v>0</v>
      </c>
      <c r="DC89" s="23">
        <v>0</v>
      </c>
      <c r="DD89" s="23">
        <v>0</v>
      </c>
      <c r="DE89" s="23">
        <v>0</v>
      </c>
      <c r="DF89" s="23">
        <v>0</v>
      </c>
      <c r="DG89" s="23">
        <v>0</v>
      </c>
      <c r="DH89" s="23">
        <v>0</v>
      </c>
      <c r="DI89" s="23">
        <v>0</v>
      </c>
      <c r="DJ89" s="23">
        <v>0.875</v>
      </c>
      <c r="DK89" s="23">
        <v>0</v>
      </c>
      <c r="DL89" s="23">
        <v>0</v>
      </c>
      <c r="DM89" s="23">
        <v>0</v>
      </c>
      <c r="DN89" s="23">
        <v>0</v>
      </c>
      <c r="DO89" s="23">
        <v>0</v>
      </c>
      <c r="DP89" s="23">
        <v>0</v>
      </c>
      <c r="DQ89" s="23">
        <v>0</v>
      </c>
      <c r="DR89" s="23">
        <v>0</v>
      </c>
      <c r="DS89" s="23">
        <v>0</v>
      </c>
      <c r="DT89" s="23">
        <v>0</v>
      </c>
      <c r="DU89" s="23">
        <v>0.875</v>
      </c>
      <c r="DV89" s="23">
        <v>0</v>
      </c>
      <c r="DW89" s="23">
        <v>0</v>
      </c>
      <c r="DX89" s="23">
        <v>0</v>
      </c>
      <c r="DY89" s="23">
        <v>0</v>
      </c>
      <c r="DZ89" s="23">
        <v>0</v>
      </c>
      <c r="EA89" s="23">
        <v>0</v>
      </c>
      <c r="EB89" s="23">
        <v>0</v>
      </c>
      <c r="EC89" s="23">
        <v>0</v>
      </c>
      <c r="ED89" s="23">
        <v>0</v>
      </c>
      <c r="EE89" s="23">
        <v>0</v>
      </c>
      <c r="EF89" s="23">
        <v>0</v>
      </c>
      <c r="EG89" s="23">
        <v>0</v>
      </c>
      <c r="EH89" s="23">
        <v>4.625</v>
      </c>
      <c r="EI89" s="23" cm="1">
        <f t="array" ref="EI89">VLOOKUP(A89,'Opponent List'!$A1:$P137,16,FALSE)</f>
        <v>-1.52307242436496</v>
      </c>
      <c r="EJ89" s="23">
        <v>3.10202729206284</v>
      </c>
    </row>
    <row r="90" ht="13.55" customHeight="1">
      <c r="A90" t="s" s="7">
        <v>45</v>
      </c>
      <c r="B90" s="22">
        <v>0</v>
      </c>
      <c r="C90" s="23">
        <v>0</v>
      </c>
      <c r="D90" s="23">
        <v>0</v>
      </c>
      <c r="E90" s="23">
        <v>0</v>
      </c>
      <c r="F90" s="23">
        <v>0</v>
      </c>
      <c r="G90" s="23">
        <v>0.875</v>
      </c>
      <c r="H90" s="23">
        <v>0</v>
      </c>
      <c r="I90" s="23">
        <v>1.125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0.875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  <c r="AG90" s="23">
        <v>0</v>
      </c>
      <c r="AH90" s="23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0</v>
      </c>
      <c r="AT90" s="23">
        <v>0</v>
      </c>
      <c r="AU90" s="23">
        <v>0</v>
      </c>
      <c r="AV90" s="23">
        <v>0</v>
      </c>
      <c r="AW90" s="23">
        <v>0</v>
      </c>
      <c r="AX90" s="23">
        <v>0</v>
      </c>
      <c r="AY90" s="23">
        <v>1.125</v>
      </c>
      <c r="AZ90" s="23">
        <v>0</v>
      </c>
      <c r="BA90" s="23">
        <v>0</v>
      </c>
      <c r="BB90" s="23">
        <v>0</v>
      </c>
      <c r="BC90" s="23">
        <v>0</v>
      </c>
      <c r="BD90" s="23">
        <v>0.875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v>0</v>
      </c>
      <c r="BQ90" s="23">
        <v>0</v>
      </c>
      <c r="BR90" s="23">
        <v>0</v>
      </c>
      <c r="BS90" s="23">
        <v>0</v>
      </c>
      <c r="BT90" s="23">
        <v>0</v>
      </c>
      <c r="BU90" s="23">
        <v>0</v>
      </c>
      <c r="BV90" s="23">
        <v>0</v>
      </c>
      <c r="BW90" s="23">
        <v>0</v>
      </c>
      <c r="BX90" s="23">
        <v>0</v>
      </c>
      <c r="BY90" s="23">
        <v>0</v>
      </c>
      <c r="BZ90" s="23">
        <v>0</v>
      </c>
      <c r="CA90" s="23">
        <v>0</v>
      </c>
      <c r="CB90" s="23">
        <v>0</v>
      </c>
      <c r="CC90" s="23">
        <v>0</v>
      </c>
      <c r="CD90" s="23">
        <v>0</v>
      </c>
      <c r="CE90" s="23">
        <v>0</v>
      </c>
      <c r="CF90" s="23">
        <v>0</v>
      </c>
      <c r="CG90" s="23">
        <v>0</v>
      </c>
      <c r="CH90" s="23">
        <v>0</v>
      </c>
      <c r="CI90" s="23">
        <v>0</v>
      </c>
      <c r="CJ90" s="23">
        <v>0</v>
      </c>
      <c r="CK90" s="23">
        <v>0</v>
      </c>
      <c r="CL90" s="23">
        <v>0</v>
      </c>
      <c r="CM90" s="23">
        <v>0</v>
      </c>
      <c r="CN90" s="23">
        <v>0</v>
      </c>
      <c r="CO90" s="23">
        <v>0</v>
      </c>
      <c r="CP90" s="23">
        <v>0</v>
      </c>
      <c r="CQ90" s="23">
        <v>0</v>
      </c>
      <c r="CR90" s="23">
        <v>0</v>
      </c>
      <c r="CS90" s="23">
        <v>0</v>
      </c>
      <c r="CT90" s="23">
        <v>0</v>
      </c>
      <c r="CU90" s="23">
        <v>0</v>
      </c>
      <c r="CV90" s="23">
        <v>0</v>
      </c>
      <c r="CW90" s="23">
        <v>0</v>
      </c>
      <c r="CX90" s="23">
        <v>0</v>
      </c>
      <c r="CY90" s="23">
        <v>-0.875</v>
      </c>
      <c r="CZ90" s="23">
        <v>0</v>
      </c>
      <c r="DA90" s="23">
        <v>0</v>
      </c>
      <c r="DB90" s="23">
        <v>0</v>
      </c>
      <c r="DC90" s="23">
        <v>0</v>
      </c>
      <c r="DD90" s="23">
        <v>0</v>
      </c>
      <c r="DE90" s="23">
        <v>0</v>
      </c>
      <c r="DF90" s="23">
        <v>0</v>
      </c>
      <c r="DG90" s="23">
        <v>0</v>
      </c>
      <c r="DH90" s="23">
        <v>0</v>
      </c>
      <c r="DI90" s="23">
        <v>0</v>
      </c>
      <c r="DJ90" s="23">
        <v>0</v>
      </c>
      <c r="DK90" s="23">
        <v>0</v>
      </c>
      <c r="DL90" s="23">
        <v>0</v>
      </c>
      <c r="DM90" s="23">
        <v>0</v>
      </c>
      <c r="DN90" s="23">
        <v>0</v>
      </c>
      <c r="DO90" s="23">
        <v>1.125</v>
      </c>
      <c r="DP90" s="23">
        <v>0</v>
      </c>
      <c r="DQ90" s="23">
        <v>0</v>
      </c>
      <c r="DR90" s="23">
        <v>0</v>
      </c>
      <c r="DS90" s="23">
        <v>0</v>
      </c>
      <c r="DT90" s="23">
        <v>0</v>
      </c>
      <c r="DU90" s="23">
        <v>0</v>
      </c>
      <c r="DV90" s="23">
        <v>0</v>
      </c>
      <c r="DW90" s="23">
        <v>0</v>
      </c>
      <c r="DX90" s="23">
        <v>0</v>
      </c>
      <c r="DY90" s="23">
        <v>0</v>
      </c>
      <c r="DZ90" s="23">
        <v>0</v>
      </c>
      <c r="EA90" s="23">
        <v>0</v>
      </c>
      <c r="EB90" s="23">
        <v>0</v>
      </c>
      <c r="EC90" s="23">
        <v>0</v>
      </c>
      <c r="ED90" s="23">
        <v>0</v>
      </c>
      <c r="EE90" s="23">
        <v>0</v>
      </c>
      <c r="EF90" s="23">
        <v>0</v>
      </c>
      <c r="EG90" s="23">
        <v>0</v>
      </c>
      <c r="EH90" s="23">
        <v>5.125</v>
      </c>
      <c r="EI90" s="23" cm="1">
        <f t="array" ref="EI90">VLOOKUP(A90,'Opponent List'!$A1:$P137,16,FALSE)</f>
        <v>-2.74774541406621</v>
      </c>
      <c r="EJ90" s="23">
        <v>2.3773723661694</v>
      </c>
    </row>
    <row r="91" ht="13.55" customHeight="1">
      <c r="A91" t="s" s="7">
        <v>91</v>
      </c>
      <c r="B91" s="22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0.875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-1.125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0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1.125</v>
      </c>
      <c r="BN91" s="23">
        <v>0</v>
      </c>
      <c r="BO91" s="23">
        <v>0</v>
      </c>
      <c r="BP91" s="23">
        <v>0</v>
      </c>
      <c r="BQ91" s="23">
        <v>0</v>
      </c>
      <c r="BR91" s="23">
        <v>0</v>
      </c>
      <c r="BS91" s="23">
        <v>0</v>
      </c>
      <c r="BT91" s="23">
        <v>0</v>
      </c>
      <c r="BU91" s="23">
        <v>0</v>
      </c>
      <c r="BV91" s="23">
        <v>0</v>
      </c>
      <c r="BW91" s="23">
        <v>0</v>
      </c>
      <c r="BX91" s="23">
        <v>0</v>
      </c>
      <c r="BY91" s="23">
        <v>0</v>
      </c>
      <c r="BZ91" s="23">
        <v>0</v>
      </c>
      <c r="CA91" s="23">
        <v>0</v>
      </c>
      <c r="CB91" s="23">
        <v>0</v>
      </c>
      <c r="CC91" s="23">
        <v>0</v>
      </c>
      <c r="CD91" s="23">
        <v>0</v>
      </c>
      <c r="CE91" s="23">
        <v>0</v>
      </c>
      <c r="CF91" s="23">
        <v>0</v>
      </c>
      <c r="CG91" s="23">
        <v>0</v>
      </c>
      <c r="CH91" s="23">
        <v>0</v>
      </c>
      <c r="CI91" s="23">
        <v>-0.875</v>
      </c>
      <c r="CJ91" s="23">
        <v>-0.875</v>
      </c>
      <c r="CK91" s="23">
        <v>-0.875</v>
      </c>
      <c r="CL91" s="23">
        <v>0</v>
      </c>
      <c r="CM91" s="23">
        <v>0</v>
      </c>
      <c r="CN91" s="23">
        <v>0</v>
      </c>
      <c r="CO91" s="23">
        <v>0</v>
      </c>
      <c r="CP91" s="23">
        <v>0</v>
      </c>
      <c r="CQ91" s="23">
        <v>0</v>
      </c>
      <c r="CR91" s="23">
        <v>0</v>
      </c>
      <c r="CS91" s="23">
        <v>0</v>
      </c>
      <c r="CT91" s="23">
        <v>0</v>
      </c>
      <c r="CU91" s="23">
        <v>0</v>
      </c>
      <c r="CV91" s="23">
        <v>0</v>
      </c>
      <c r="CW91" s="23">
        <v>0</v>
      </c>
      <c r="CX91" s="23">
        <v>0</v>
      </c>
      <c r="CY91" s="23">
        <v>0</v>
      </c>
      <c r="CZ91" s="23">
        <v>0</v>
      </c>
      <c r="DA91" s="23">
        <v>0</v>
      </c>
      <c r="DB91" s="23">
        <v>0</v>
      </c>
      <c r="DC91" s="23">
        <v>-0.875</v>
      </c>
      <c r="DD91" s="23">
        <v>0</v>
      </c>
      <c r="DE91" s="23">
        <v>0</v>
      </c>
      <c r="DF91" s="23">
        <v>0</v>
      </c>
      <c r="DG91" s="23">
        <v>0</v>
      </c>
      <c r="DH91" s="23">
        <v>0</v>
      </c>
      <c r="DI91" s="23">
        <v>0</v>
      </c>
      <c r="DJ91" s="23">
        <v>0</v>
      </c>
      <c r="DK91" s="23">
        <v>0</v>
      </c>
      <c r="DL91" s="23">
        <v>0</v>
      </c>
      <c r="DM91" s="23">
        <v>0</v>
      </c>
      <c r="DN91" s="23">
        <v>0</v>
      </c>
      <c r="DO91" s="23">
        <v>0</v>
      </c>
      <c r="DP91" s="23">
        <v>0</v>
      </c>
      <c r="DQ91" s="23">
        <v>0</v>
      </c>
      <c r="DR91" s="23">
        <v>0</v>
      </c>
      <c r="DS91" s="23">
        <v>0</v>
      </c>
      <c r="DT91" s="23">
        <v>0</v>
      </c>
      <c r="DU91" s="23">
        <v>0</v>
      </c>
      <c r="DV91" s="23">
        <v>0</v>
      </c>
      <c r="DW91" s="23">
        <v>0</v>
      </c>
      <c r="DX91" s="23">
        <v>0</v>
      </c>
      <c r="DY91" s="23">
        <v>0</v>
      </c>
      <c r="DZ91" s="23">
        <v>0</v>
      </c>
      <c r="EA91" s="23">
        <v>0</v>
      </c>
      <c r="EB91" s="23">
        <v>0</v>
      </c>
      <c r="EC91" s="23">
        <v>0</v>
      </c>
      <c r="ED91" s="23">
        <v>0</v>
      </c>
      <c r="EE91" s="23">
        <v>0</v>
      </c>
      <c r="EF91" s="23">
        <v>0</v>
      </c>
      <c r="EG91" s="23">
        <v>0</v>
      </c>
      <c r="EH91" s="23">
        <v>-2.625</v>
      </c>
      <c r="EI91" s="23" cm="1">
        <f t="array" ref="EI91">VLOOKUP(A91,'Opponent List'!$A1:$P137,16,FALSE)</f>
        <v>0.755983182439683</v>
      </c>
      <c r="EJ91" s="23">
        <v>-1.86915335849158</v>
      </c>
    </row>
    <row r="92" ht="13.55" customHeight="1">
      <c r="A92" t="s" s="7">
        <v>135</v>
      </c>
      <c r="B92" s="22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0.875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>
        <v>0</v>
      </c>
      <c r="AG92" s="23">
        <v>0</v>
      </c>
      <c r="AH92" s="23">
        <v>0</v>
      </c>
      <c r="AI92" s="23">
        <v>-1.125</v>
      </c>
      <c r="AJ92" s="23">
        <v>-0.875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3">
        <v>0</v>
      </c>
      <c r="AU92" s="23">
        <v>0</v>
      </c>
      <c r="AV92" s="23">
        <v>0</v>
      </c>
      <c r="AW92" s="23">
        <v>0</v>
      </c>
      <c r="AX92" s="23">
        <v>0</v>
      </c>
      <c r="AY92" s="23">
        <v>0</v>
      </c>
      <c r="AZ92" s="23">
        <v>0</v>
      </c>
      <c r="BA92" s="23">
        <v>0</v>
      </c>
      <c r="BB92" s="23">
        <v>0</v>
      </c>
      <c r="BC92" s="23">
        <v>0</v>
      </c>
      <c r="BD92" s="23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v>0</v>
      </c>
      <c r="BQ92" s="23">
        <v>0</v>
      </c>
      <c r="BR92" s="23">
        <v>0</v>
      </c>
      <c r="BS92" s="23">
        <v>0</v>
      </c>
      <c r="BT92" s="23">
        <v>0</v>
      </c>
      <c r="BU92" s="23">
        <v>0</v>
      </c>
      <c r="BV92" s="23">
        <v>0</v>
      </c>
      <c r="BW92" s="23">
        <v>0</v>
      </c>
      <c r="BX92" s="23">
        <v>0</v>
      </c>
      <c r="BY92" s="23">
        <v>-0.875</v>
      </c>
      <c r="BZ92" s="23">
        <v>0</v>
      </c>
      <c r="CA92" s="23">
        <v>0</v>
      </c>
      <c r="CB92" s="23">
        <v>0</v>
      </c>
      <c r="CC92" s="23">
        <v>0</v>
      </c>
      <c r="CD92" s="23">
        <v>0</v>
      </c>
      <c r="CE92" s="23">
        <v>0</v>
      </c>
      <c r="CF92" s="23">
        <v>0</v>
      </c>
      <c r="CG92" s="23">
        <v>0</v>
      </c>
      <c r="CH92" s="23">
        <v>0</v>
      </c>
      <c r="CI92" s="23">
        <v>0</v>
      </c>
      <c r="CJ92" s="23">
        <v>0</v>
      </c>
      <c r="CK92" s="23">
        <v>0</v>
      </c>
      <c r="CL92" s="23">
        <v>0</v>
      </c>
      <c r="CM92" s="23">
        <v>0</v>
      </c>
      <c r="CN92" s="23">
        <v>0</v>
      </c>
      <c r="CO92" s="23">
        <v>0</v>
      </c>
      <c r="CP92" s="23">
        <v>0</v>
      </c>
      <c r="CQ92" s="23">
        <v>-1.125</v>
      </c>
      <c r="CR92" s="23">
        <v>0</v>
      </c>
      <c r="CS92" s="23">
        <v>0</v>
      </c>
      <c r="CT92" s="23">
        <v>0</v>
      </c>
      <c r="CU92" s="23">
        <v>0</v>
      </c>
      <c r="CV92" s="23">
        <v>0</v>
      </c>
      <c r="CW92" s="23">
        <v>0</v>
      </c>
      <c r="CX92" s="23">
        <v>0</v>
      </c>
      <c r="CY92" s="23">
        <v>0</v>
      </c>
      <c r="CZ92" s="23">
        <v>0</v>
      </c>
      <c r="DA92" s="23">
        <v>0</v>
      </c>
      <c r="DB92" s="23">
        <v>0</v>
      </c>
      <c r="DC92" s="23">
        <v>0</v>
      </c>
      <c r="DD92" s="23">
        <v>0</v>
      </c>
      <c r="DE92" s="23">
        <v>0</v>
      </c>
      <c r="DF92" s="23">
        <v>0</v>
      </c>
      <c r="DG92" s="23">
        <v>0</v>
      </c>
      <c r="DH92" s="23">
        <v>0</v>
      </c>
      <c r="DI92" s="23">
        <v>0</v>
      </c>
      <c r="DJ92" s="23">
        <v>0</v>
      </c>
      <c r="DK92" s="23">
        <v>0</v>
      </c>
      <c r="DL92" s="23">
        <v>-0.875</v>
      </c>
      <c r="DM92" s="23">
        <v>0</v>
      </c>
      <c r="DN92" s="23">
        <v>0</v>
      </c>
      <c r="DO92" s="23">
        <v>0</v>
      </c>
      <c r="DP92" s="23">
        <v>1.125</v>
      </c>
      <c r="DQ92" s="23">
        <v>0</v>
      </c>
      <c r="DR92" s="23">
        <v>0</v>
      </c>
      <c r="DS92" s="23">
        <v>0</v>
      </c>
      <c r="DT92" s="23">
        <v>0</v>
      </c>
      <c r="DU92" s="23">
        <v>0</v>
      </c>
      <c r="DV92" s="23">
        <v>0</v>
      </c>
      <c r="DW92" s="23">
        <v>0</v>
      </c>
      <c r="DX92" s="23">
        <v>0</v>
      </c>
      <c r="DY92" s="23">
        <v>0</v>
      </c>
      <c r="DZ92" s="23">
        <v>0</v>
      </c>
      <c r="EA92" s="23">
        <v>0</v>
      </c>
      <c r="EB92" s="23">
        <v>0</v>
      </c>
      <c r="EC92" s="23">
        <v>0</v>
      </c>
      <c r="ED92" s="23">
        <v>0</v>
      </c>
      <c r="EE92" s="23">
        <v>0</v>
      </c>
      <c r="EF92" s="23">
        <v>0</v>
      </c>
      <c r="EG92" s="23">
        <v>0</v>
      </c>
      <c r="EH92" s="23">
        <v>-2.875</v>
      </c>
      <c r="EI92" s="23" cm="1">
        <f t="array" ref="EI92">VLOOKUP(A92,'Opponent List'!$A1:$P137,16,FALSE)</f>
        <v>-3.03814353167048</v>
      </c>
      <c r="EJ92" s="23">
        <v>-5.91317296171246</v>
      </c>
    </row>
    <row r="93" ht="13.55" customHeight="1">
      <c r="A93" t="s" s="7">
        <v>89</v>
      </c>
      <c r="B93" s="22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-1.125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3">
        <v>0</v>
      </c>
      <c r="AU93" s="23">
        <v>0</v>
      </c>
      <c r="AV93" s="23">
        <v>0</v>
      </c>
      <c r="AW93" s="23">
        <v>0</v>
      </c>
      <c r="AX93" s="23">
        <v>0</v>
      </c>
      <c r="AY93" s="23">
        <v>0</v>
      </c>
      <c r="AZ93" s="23">
        <v>0</v>
      </c>
      <c r="BA93" s="23">
        <v>0</v>
      </c>
      <c r="BB93" s="23">
        <v>0</v>
      </c>
      <c r="BC93" s="23">
        <v>0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-0.875</v>
      </c>
      <c r="BM93" s="23">
        <v>0</v>
      </c>
      <c r="BN93" s="23">
        <v>-0.875</v>
      </c>
      <c r="BO93" s="23">
        <v>0</v>
      </c>
      <c r="BP93" s="23">
        <v>0</v>
      </c>
      <c r="BQ93" s="23">
        <v>0</v>
      </c>
      <c r="BR93" s="23">
        <v>0</v>
      </c>
      <c r="BS93" s="23">
        <v>0</v>
      </c>
      <c r="BT93" s="23">
        <v>0</v>
      </c>
      <c r="BU93" s="23">
        <v>0</v>
      </c>
      <c r="BV93" s="23">
        <v>0</v>
      </c>
      <c r="BW93" s="23">
        <v>0</v>
      </c>
      <c r="BX93" s="23">
        <v>0</v>
      </c>
      <c r="BY93" s="23">
        <v>0</v>
      </c>
      <c r="BZ93" s="23">
        <v>0</v>
      </c>
      <c r="CA93" s="23">
        <v>0</v>
      </c>
      <c r="CB93" s="23">
        <v>1.125</v>
      </c>
      <c r="CC93" s="23">
        <v>0</v>
      </c>
      <c r="CD93" s="23">
        <v>0</v>
      </c>
      <c r="CE93" s="23">
        <v>0</v>
      </c>
      <c r="CF93" s="23">
        <v>0</v>
      </c>
      <c r="CG93" s="23">
        <v>0</v>
      </c>
      <c r="CH93" s="23">
        <v>0</v>
      </c>
      <c r="CI93" s="23">
        <v>0</v>
      </c>
      <c r="CJ93" s="23">
        <v>0</v>
      </c>
      <c r="CK93" s="23">
        <v>0</v>
      </c>
      <c r="CL93" s="23">
        <v>0</v>
      </c>
      <c r="CM93" s="23">
        <v>0</v>
      </c>
      <c r="CN93" s="23">
        <v>0</v>
      </c>
      <c r="CO93" s="23">
        <v>0</v>
      </c>
      <c r="CP93" s="23">
        <v>0</v>
      </c>
      <c r="CQ93" s="23">
        <v>0</v>
      </c>
      <c r="CR93" s="23">
        <v>0</v>
      </c>
      <c r="CS93" s="23">
        <v>0</v>
      </c>
      <c r="CT93" s="23">
        <v>0</v>
      </c>
      <c r="CU93" s="23">
        <v>0</v>
      </c>
      <c r="CV93" s="23">
        <v>0</v>
      </c>
      <c r="CW93" s="23">
        <v>0</v>
      </c>
      <c r="CX93" s="23">
        <v>0</v>
      </c>
      <c r="CY93" s="23">
        <v>0</v>
      </c>
      <c r="CZ93" s="23">
        <v>0</v>
      </c>
      <c r="DA93" s="23">
        <v>0</v>
      </c>
      <c r="DB93" s="23">
        <v>0</v>
      </c>
      <c r="DC93" s="23">
        <v>0</v>
      </c>
      <c r="DD93" s="23">
        <v>0</v>
      </c>
      <c r="DE93" s="23">
        <v>0</v>
      </c>
      <c r="DF93" s="23">
        <v>0</v>
      </c>
      <c r="DG93" s="23">
        <v>0</v>
      </c>
      <c r="DH93" s="23">
        <v>0</v>
      </c>
      <c r="DI93" s="23">
        <v>0</v>
      </c>
      <c r="DJ93" s="23">
        <v>0</v>
      </c>
      <c r="DK93" s="23">
        <v>0</v>
      </c>
      <c r="DL93" s="23">
        <v>0</v>
      </c>
      <c r="DM93" s="23">
        <v>0</v>
      </c>
      <c r="DN93" s="23">
        <v>0</v>
      </c>
      <c r="DO93" s="23">
        <v>0</v>
      </c>
      <c r="DP93" s="23">
        <v>0</v>
      </c>
      <c r="DQ93" s="23">
        <v>0</v>
      </c>
      <c r="DR93" s="23">
        <v>0</v>
      </c>
      <c r="DS93" s="23">
        <v>0</v>
      </c>
      <c r="DT93" s="23">
        <v>0</v>
      </c>
      <c r="DU93" s="23">
        <v>0</v>
      </c>
      <c r="DV93" s="23">
        <v>0</v>
      </c>
      <c r="DW93" s="23">
        <v>-1.125</v>
      </c>
      <c r="DX93" s="23">
        <v>0</v>
      </c>
      <c r="DY93" s="23">
        <v>0</v>
      </c>
      <c r="DZ93" s="23">
        <v>0</v>
      </c>
      <c r="EA93" s="23">
        <v>0</v>
      </c>
      <c r="EB93" s="23">
        <v>0</v>
      </c>
      <c r="EC93" s="23">
        <v>0</v>
      </c>
      <c r="ED93" s="23">
        <v>0</v>
      </c>
      <c r="EE93" s="23">
        <v>0</v>
      </c>
      <c r="EF93" s="23">
        <v>0</v>
      </c>
      <c r="EG93" s="23">
        <v>1.75</v>
      </c>
      <c r="EH93" s="23">
        <v>-1.125</v>
      </c>
      <c r="EI93" s="23" cm="1">
        <f t="array" ref="EI93">VLOOKUP(A93,'Opponent List'!$A1:$P137,16,FALSE)</f>
        <v>-0.340938931889486</v>
      </c>
      <c r="EJ93" s="23">
        <v>-1.465873424251</v>
      </c>
    </row>
    <row r="94" ht="13.55" customHeight="1">
      <c r="A94" t="s" s="7">
        <v>108</v>
      </c>
      <c r="B94" s="22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-0.875</v>
      </c>
      <c r="L94" s="23">
        <v>0</v>
      </c>
      <c r="M94" s="23">
        <v>0</v>
      </c>
      <c r="N94" s="23">
        <v>0</v>
      </c>
      <c r="O94" s="23">
        <v>0</v>
      </c>
      <c r="P94" s="23">
        <v>-0.875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23">
        <v>0</v>
      </c>
      <c r="AH94" s="23">
        <v>0</v>
      </c>
      <c r="AI94" s="23">
        <v>0</v>
      </c>
      <c r="AJ94" s="23">
        <v>0</v>
      </c>
      <c r="AK94" s="23">
        <v>0.25</v>
      </c>
      <c r="AL94" s="23">
        <v>0</v>
      </c>
      <c r="AM94" s="23">
        <v>0</v>
      </c>
      <c r="AN94" s="23">
        <v>0</v>
      </c>
      <c r="AO94" s="23">
        <v>0</v>
      </c>
      <c r="AP94" s="23">
        <v>-1.125</v>
      </c>
      <c r="AQ94" s="23">
        <v>0</v>
      </c>
      <c r="AR94" s="23">
        <v>0</v>
      </c>
      <c r="AS94" s="23">
        <v>0</v>
      </c>
      <c r="AT94" s="23">
        <v>0</v>
      </c>
      <c r="AU94" s="23">
        <v>0</v>
      </c>
      <c r="AV94" s="23">
        <v>0</v>
      </c>
      <c r="AW94" s="23">
        <v>0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3">
        <v>0</v>
      </c>
      <c r="BD94" s="23">
        <v>0</v>
      </c>
      <c r="BE94" s="23">
        <v>0</v>
      </c>
      <c r="BF94" s="23">
        <v>0</v>
      </c>
      <c r="BG94" s="23">
        <v>0</v>
      </c>
      <c r="BH94" s="23">
        <v>0</v>
      </c>
      <c r="BI94" s="23">
        <v>0.875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v>0</v>
      </c>
      <c r="BQ94" s="23">
        <v>0</v>
      </c>
      <c r="BR94" s="23">
        <v>0</v>
      </c>
      <c r="BS94" s="23">
        <v>0</v>
      </c>
      <c r="BT94" s="23">
        <v>0</v>
      </c>
      <c r="BU94" s="23">
        <v>0</v>
      </c>
      <c r="BV94" s="23">
        <v>0</v>
      </c>
      <c r="BW94" s="23">
        <v>0</v>
      </c>
      <c r="BX94" s="23">
        <v>0</v>
      </c>
      <c r="BY94" s="23">
        <v>0</v>
      </c>
      <c r="BZ94" s="23">
        <v>0</v>
      </c>
      <c r="CA94" s="23">
        <v>0</v>
      </c>
      <c r="CB94" s="23">
        <v>0</v>
      </c>
      <c r="CC94" s="23">
        <v>0</v>
      </c>
      <c r="CD94" s="23">
        <v>-1.125</v>
      </c>
      <c r="CE94" s="23">
        <v>0</v>
      </c>
      <c r="CF94" s="23">
        <v>0</v>
      </c>
      <c r="CG94" s="23">
        <v>0</v>
      </c>
      <c r="CH94" s="23">
        <v>0</v>
      </c>
      <c r="CI94" s="23">
        <v>0</v>
      </c>
      <c r="CJ94" s="23">
        <v>0</v>
      </c>
      <c r="CK94" s="23">
        <v>0</v>
      </c>
      <c r="CL94" s="23">
        <v>0</v>
      </c>
      <c r="CM94" s="23">
        <v>0</v>
      </c>
      <c r="CN94" s="23">
        <v>0</v>
      </c>
      <c r="CO94" s="23">
        <v>0</v>
      </c>
      <c r="CP94" s="23">
        <v>0</v>
      </c>
      <c r="CQ94" s="23">
        <v>0</v>
      </c>
      <c r="CR94" s="23">
        <v>0</v>
      </c>
      <c r="CS94" s="23">
        <v>0</v>
      </c>
      <c r="CT94" s="23">
        <v>0</v>
      </c>
      <c r="CU94" s="23">
        <v>0</v>
      </c>
      <c r="CV94" s="23">
        <v>0</v>
      </c>
      <c r="CW94" s="23">
        <v>0</v>
      </c>
      <c r="CX94" s="23">
        <v>0</v>
      </c>
      <c r="CY94" s="23">
        <v>0</v>
      </c>
      <c r="CZ94" s="23">
        <v>0</v>
      </c>
      <c r="DA94" s="23">
        <v>0</v>
      </c>
      <c r="DB94" s="23">
        <v>0</v>
      </c>
      <c r="DC94" s="23">
        <v>0</v>
      </c>
      <c r="DD94" s="23">
        <v>0</v>
      </c>
      <c r="DE94" s="23">
        <v>0</v>
      </c>
      <c r="DF94" s="23">
        <v>0</v>
      </c>
      <c r="DG94" s="23">
        <v>0</v>
      </c>
      <c r="DH94" s="23">
        <v>0</v>
      </c>
      <c r="DI94" s="23">
        <v>0</v>
      </c>
      <c r="DJ94" s="23">
        <v>0</v>
      </c>
      <c r="DK94" s="23">
        <v>0</v>
      </c>
      <c r="DL94" s="23">
        <v>0</v>
      </c>
      <c r="DM94" s="23">
        <v>0</v>
      </c>
      <c r="DN94" s="23">
        <v>0</v>
      </c>
      <c r="DO94" s="23">
        <v>0</v>
      </c>
      <c r="DP94" s="23">
        <v>0</v>
      </c>
      <c r="DQ94" s="23">
        <v>0</v>
      </c>
      <c r="DR94" s="23">
        <v>0</v>
      </c>
      <c r="DS94" s="23">
        <v>0</v>
      </c>
      <c r="DT94" s="23">
        <v>0</v>
      </c>
      <c r="DU94" s="23">
        <v>0</v>
      </c>
      <c r="DV94" s="23">
        <v>0</v>
      </c>
      <c r="DW94" s="23">
        <v>0</v>
      </c>
      <c r="DX94" s="23">
        <v>0</v>
      </c>
      <c r="DY94" s="23">
        <v>0</v>
      </c>
      <c r="DZ94" s="23">
        <v>0</v>
      </c>
      <c r="EA94" s="23">
        <v>0</v>
      </c>
      <c r="EB94" s="23">
        <v>0</v>
      </c>
      <c r="EC94" s="23">
        <v>0</v>
      </c>
      <c r="ED94" s="23">
        <v>0</v>
      </c>
      <c r="EE94" s="23">
        <v>0</v>
      </c>
      <c r="EF94" s="23">
        <v>0</v>
      </c>
      <c r="EG94" s="23">
        <v>0</v>
      </c>
      <c r="EH94" s="23">
        <v>-2.875</v>
      </c>
      <c r="EI94" s="23" cm="1">
        <f t="array" ref="EI94">VLOOKUP(A94,'Opponent List'!$A1:$P137,16,FALSE)</f>
        <v>-0.0425720649993843</v>
      </c>
      <c r="EJ94" s="23">
        <v>-2.91762373109868</v>
      </c>
    </row>
    <row r="95" ht="13.55" customHeight="1">
      <c r="A95" t="s" s="7">
        <v>64</v>
      </c>
      <c r="B95" s="22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1.125</v>
      </c>
      <c r="T95" s="23">
        <v>0</v>
      </c>
      <c r="U95" s="23">
        <v>0</v>
      </c>
      <c r="V95" s="23">
        <v>0</v>
      </c>
      <c r="W95" s="23">
        <v>0</v>
      </c>
      <c r="X95" s="23">
        <v>0.875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3">
        <v>0</v>
      </c>
      <c r="AM95" s="23">
        <v>-1.125</v>
      </c>
      <c r="AN95" s="23">
        <v>1.125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3">
        <v>0</v>
      </c>
      <c r="AU95" s="23">
        <v>0</v>
      </c>
      <c r="AV95" s="23">
        <v>0</v>
      </c>
      <c r="AW95" s="23">
        <v>0</v>
      </c>
      <c r="AX95" s="23">
        <v>0</v>
      </c>
      <c r="AY95" s="23">
        <v>0</v>
      </c>
      <c r="AZ95" s="23">
        <v>0</v>
      </c>
      <c r="BA95" s="23">
        <v>0</v>
      </c>
      <c r="BB95" s="23">
        <v>0</v>
      </c>
      <c r="BC95" s="23">
        <v>0</v>
      </c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v>0</v>
      </c>
      <c r="BQ95" s="23">
        <v>0.875</v>
      </c>
      <c r="BR95" s="23">
        <v>0</v>
      </c>
      <c r="BS95" s="23">
        <v>0</v>
      </c>
      <c r="BT95" s="23">
        <v>0</v>
      </c>
      <c r="BU95" s="23">
        <v>0</v>
      </c>
      <c r="BV95" s="23">
        <v>0</v>
      </c>
      <c r="BW95" s="23">
        <v>0</v>
      </c>
      <c r="BX95" s="23">
        <v>0</v>
      </c>
      <c r="BY95" s="23">
        <v>0</v>
      </c>
      <c r="BZ95" s="23">
        <v>0</v>
      </c>
      <c r="CA95" s="23">
        <v>0</v>
      </c>
      <c r="CB95" s="23">
        <v>0</v>
      </c>
      <c r="CC95" s="23">
        <v>0</v>
      </c>
      <c r="CD95" s="23">
        <v>0</v>
      </c>
      <c r="CE95" s="23">
        <v>0</v>
      </c>
      <c r="CF95" s="23">
        <v>0</v>
      </c>
      <c r="CG95" s="23">
        <v>0</v>
      </c>
      <c r="CH95" s="23">
        <v>0</v>
      </c>
      <c r="CI95" s="23">
        <v>0</v>
      </c>
      <c r="CJ95" s="23">
        <v>0</v>
      </c>
      <c r="CK95" s="23">
        <v>0</v>
      </c>
      <c r="CL95" s="23">
        <v>0</v>
      </c>
      <c r="CM95" s="23">
        <v>0</v>
      </c>
      <c r="CN95" s="23">
        <v>1.125</v>
      </c>
      <c r="CO95" s="23">
        <v>0</v>
      </c>
      <c r="CP95" s="23">
        <v>0</v>
      </c>
      <c r="CQ95" s="23">
        <v>0</v>
      </c>
      <c r="CR95" s="23">
        <v>0</v>
      </c>
      <c r="CS95" s="23">
        <v>0</v>
      </c>
      <c r="CT95" s="23">
        <v>0</v>
      </c>
      <c r="CU95" s="23">
        <v>0</v>
      </c>
      <c r="CV95" s="23">
        <v>0</v>
      </c>
      <c r="CW95" s="23">
        <v>0</v>
      </c>
      <c r="CX95" s="23">
        <v>0</v>
      </c>
      <c r="CY95" s="23">
        <v>0</v>
      </c>
      <c r="CZ95" s="23">
        <v>0</v>
      </c>
      <c r="DA95" s="23">
        <v>0</v>
      </c>
      <c r="DB95" s="23">
        <v>0</v>
      </c>
      <c r="DC95" s="23">
        <v>0</v>
      </c>
      <c r="DD95" s="23">
        <v>0</v>
      </c>
      <c r="DE95" s="23">
        <v>0</v>
      </c>
      <c r="DF95" s="23">
        <v>0</v>
      </c>
      <c r="DG95" s="23">
        <v>0</v>
      </c>
      <c r="DH95" s="23">
        <v>0</v>
      </c>
      <c r="DI95" s="23">
        <v>0</v>
      </c>
      <c r="DJ95" s="23">
        <v>0</v>
      </c>
      <c r="DK95" s="23">
        <v>0</v>
      </c>
      <c r="DL95" s="23">
        <v>-1.125</v>
      </c>
      <c r="DM95" s="23">
        <v>0</v>
      </c>
      <c r="DN95" s="23">
        <v>0</v>
      </c>
      <c r="DO95" s="23">
        <v>0</v>
      </c>
      <c r="DP95" s="23">
        <v>0</v>
      </c>
      <c r="DQ95" s="23">
        <v>0</v>
      </c>
      <c r="DR95" s="23">
        <v>0</v>
      </c>
      <c r="DS95" s="23">
        <v>0</v>
      </c>
      <c r="DT95" s="23">
        <v>0</v>
      </c>
      <c r="DU95" s="23">
        <v>0</v>
      </c>
      <c r="DV95" s="23">
        <v>0</v>
      </c>
      <c r="DW95" s="23">
        <v>0</v>
      </c>
      <c r="DX95" s="23">
        <v>0</v>
      </c>
      <c r="DY95" s="23">
        <v>0</v>
      </c>
      <c r="DZ95" s="23">
        <v>0</v>
      </c>
      <c r="EA95" s="23">
        <v>0</v>
      </c>
      <c r="EB95" s="23">
        <v>0</v>
      </c>
      <c r="EC95" s="23">
        <v>0</v>
      </c>
      <c r="ED95" s="23">
        <v>0</v>
      </c>
      <c r="EE95" s="23">
        <v>0</v>
      </c>
      <c r="EF95" s="23">
        <v>0</v>
      </c>
      <c r="EG95" s="23">
        <v>0</v>
      </c>
      <c r="EH95" s="23">
        <v>2.875</v>
      </c>
      <c r="EI95" s="23" cm="1">
        <f t="array" ref="EI95">VLOOKUP(A95,'Opponent List'!$A1:$P137,16,FALSE)</f>
        <v>-2.28876728213772</v>
      </c>
      <c r="EJ95" s="23">
        <v>0.5861765857014</v>
      </c>
    </row>
    <row r="96" ht="13.55" customHeight="1">
      <c r="A96" t="s" s="7">
        <v>9</v>
      </c>
      <c r="B96" s="22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>
        <v>0</v>
      </c>
      <c r="AG96" s="23">
        <v>0</v>
      </c>
      <c r="AH96" s="23">
        <v>0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3">
        <v>0</v>
      </c>
      <c r="AS96" s="23">
        <v>0</v>
      </c>
      <c r="AT96" s="23">
        <v>0</v>
      </c>
      <c r="AU96" s="23">
        <v>0</v>
      </c>
      <c r="AV96" s="23">
        <v>0</v>
      </c>
      <c r="AW96" s="23">
        <v>0</v>
      </c>
      <c r="AX96" s="23">
        <v>0</v>
      </c>
      <c r="AY96" s="23">
        <v>0</v>
      </c>
      <c r="AZ96" s="23">
        <v>0</v>
      </c>
      <c r="BA96" s="23">
        <v>0.875</v>
      </c>
      <c r="BB96" s="23">
        <v>0</v>
      </c>
      <c r="BC96" s="23">
        <v>0</v>
      </c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v>0</v>
      </c>
      <c r="BQ96" s="23">
        <v>0</v>
      </c>
      <c r="BR96" s="23">
        <v>0</v>
      </c>
      <c r="BS96" s="23">
        <v>0</v>
      </c>
      <c r="BT96" s="23">
        <v>0</v>
      </c>
      <c r="BU96" s="23">
        <v>0</v>
      </c>
      <c r="BV96" s="23">
        <v>0</v>
      </c>
      <c r="BW96" s="23">
        <v>0</v>
      </c>
      <c r="BX96" s="23">
        <v>0</v>
      </c>
      <c r="BY96" s="23">
        <v>0</v>
      </c>
      <c r="BZ96" s="23">
        <v>0</v>
      </c>
      <c r="CA96" s="23">
        <v>1.125</v>
      </c>
      <c r="CB96" s="23">
        <v>0</v>
      </c>
      <c r="CC96" s="23">
        <v>0</v>
      </c>
      <c r="CD96" s="23">
        <v>0</v>
      </c>
      <c r="CE96" s="23">
        <v>0</v>
      </c>
      <c r="CF96" s="23">
        <v>0</v>
      </c>
      <c r="CG96" s="23">
        <v>0</v>
      </c>
      <c r="CH96" s="23">
        <v>0</v>
      </c>
      <c r="CI96" s="23">
        <v>0</v>
      </c>
      <c r="CJ96" s="23">
        <v>0</v>
      </c>
      <c r="CK96" s="23">
        <v>0</v>
      </c>
      <c r="CL96" s="23">
        <v>0</v>
      </c>
      <c r="CM96" s="23">
        <v>0</v>
      </c>
      <c r="CN96" s="23">
        <v>0</v>
      </c>
      <c r="CO96" s="23">
        <v>0</v>
      </c>
      <c r="CP96" s="23">
        <v>0</v>
      </c>
      <c r="CQ96" s="23">
        <v>0</v>
      </c>
      <c r="CR96" s="23">
        <v>0</v>
      </c>
      <c r="CS96" s="23">
        <v>0</v>
      </c>
      <c r="CT96" s="23">
        <v>0.875</v>
      </c>
      <c r="CU96" s="23">
        <v>0</v>
      </c>
      <c r="CV96" s="23">
        <v>0</v>
      </c>
      <c r="CW96" s="23">
        <v>0</v>
      </c>
      <c r="CX96" s="23">
        <v>0</v>
      </c>
      <c r="CY96" s="23">
        <v>0</v>
      </c>
      <c r="CZ96" s="23">
        <v>0</v>
      </c>
      <c r="DA96" s="23">
        <v>0</v>
      </c>
      <c r="DB96" s="23">
        <v>0</v>
      </c>
      <c r="DC96" s="23">
        <v>0</v>
      </c>
      <c r="DD96" s="23">
        <v>0</v>
      </c>
      <c r="DE96" s="23">
        <v>-1.125</v>
      </c>
      <c r="DF96" s="23">
        <v>0</v>
      </c>
      <c r="DG96" s="23">
        <v>0</v>
      </c>
      <c r="DH96" s="23">
        <v>0</v>
      </c>
      <c r="DI96" s="23">
        <v>0</v>
      </c>
      <c r="DJ96" s="23">
        <v>0</v>
      </c>
      <c r="DK96" s="23">
        <v>0</v>
      </c>
      <c r="DL96" s="23">
        <v>1.125</v>
      </c>
      <c r="DM96" s="23">
        <v>0</v>
      </c>
      <c r="DN96" s="23">
        <v>0.875</v>
      </c>
      <c r="DO96" s="23">
        <v>0</v>
      </c>
      <c r="DP96" s="23">
        <v>0</v>
      </c>
      <c r="DQ96" s="23">
        <v>0</v>
      </c>
      <c r="DR96" s="23">
        <v>0</v>
      </c>
      <c r="DS96" s="23">
        <v>0</v>
      </c>
      <c r="DT96" s="23">
        <v>0</v>
      </c>
      <c r="DU96" s="23">
        <v>0</v>
      </c>
      <c r="DV96" s="23">
        <v>0</v>
      </c>
      <c r="DW96" s="23">
        <v>0</v>
      </c>
      <c r="DX96" s="23">
        <v>0</v>
      </c>
      <c r="DY96" s="23">
        <v>0</v>
      </c>
      <c r="DZ96" s="23">
        <v>0</v>
      </c>
      <c r="EA96" s="23">
        <v>0</v>
      </c>
      <c r="EB96" s="23">
        <v>0.875</v>
      </c>
      <c r="EC96" s="23">
        <v>0</v>
      </c>
      <c r="ED96" s="23">
        <v>0</v>
      </c>
      <c r="EE96" s="23">
        <v>0</v>
      </c>
      <c r="EF96" s="23">
        <v>0</v>
      </c>
      <c r="EG96" s="23">
        <v>0</v>
      </c>
      <c r="EH96" s="23">
        <v>4.625</v>
      </c>
      <c r="EI96" s="23" cm="1">
        <f t="array" ref="EI96">VLOOKUP(A96,'Opponent List'!$A1:$P137,16,FALSE)</f>
        <v>1.40689130451622</v>
      </c>
      <c r="EJ96" s="23">
        <v>6.03187766748243</v>
      </c>
    </row>
    <row r="97" ht="13.55" customHeight="1">
      <c r="A97" t="s" s="7">
        <v>134</v>
      </c>
      <c r="B97" s="22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-1.125</v>
      </c>
      <c r="J97" s="23">
        <v>0</v>
      </c>
      <c r="K97" s="23">
        <v>-1.125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-0.875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3">
        <v>0</v>
      </c>
      <c r="AU97" s="23">
        <v>0</v>
      </c>
      <c r="AV97" s="23">
        <v>0</v>
      </c>
      <c r="AW97" s="23">
        <v>0</v>
      </c>
      <c r="AX97" s="23">
        <v>0</v>
      </c>
      <c r="AY97" s="23">
        <v>0</v>
      </c>
      <c r="AZ97" s="23">
        <v>0</v>
      </c>
      <c r="BA97" s="23">
        <v>0</v>
      </c>
      <c r="BB97" s="23">
        <v>0</v>
      </c>
      <c r="BC97" s="23">
        <v>0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3">
        <v>0</v>
      </c>
      <c r="BK97" s="23">
        <v>-0.875</v>
      </c>
      <c r="BL97" s="23">
        <v>0</v>
      </c>
      <c r="BM97" s="23">
        <v>0</v>
      </c>
      <c r="BN97" s="23">
        <v>0</v>
      </c>
      <c r="BO97" s="23">
        <v>0</v>
      </c>
      <c r="BP97" s="23">
        <v>0</v>
      </c>
      <c r="BQ97" s="23">
        <v>0</v>
      </c>
      <c r="BR97" s="23">
        <v>0</v>
      </c>
      <c r="BS97" s="23">
        <v>0</v>
      </c>
      <c r="BT97" s="23">
        <v>-1.125</v>
      </c>
      <c r="BU97" s="23">
        <v>0</v>
      </c>
      <c r="BV97" s="23">
        <v>0</v>
      </c>
      <c r="BW97" s="23">
        <v>0</v>
      </c>
      <c r="BX97" s="23">
        <v>0</v>
      </c>
      <c r="BY97" s="23">
        <v>0</v>
      </c>
      <c r="BZ97" s="23">
        <v>0</v>
      </c>
      <c r="CA97" s="23">
        <v>0</v>
      </c>
      <c r="CB97" s="23">
        <v>0</v>
      </c>
      <c r="CC97" s="23">
        <v>0</v>
      </c>
      <c r="CD97" s="23">
        <v>0</v>
      </c>
      <c r="CE97" s="23">
        <v>0</v>
      </c>
      <c r="CF97" s="23">
        <v>0</v>
      </c>
      <c r="CG97" s="23">
        <v>0</v>
      </c>
      <c r="CH97" s="23">
        <v>0</v>
      </c>
      <c r="CI97" s="23">
        <v>0</v>
      </c>
      <c r="CJ97" s="23">
        <v>0</v>
      </c>
      <c r="CK97" s="23">
        <v>0</v>
      </c>
      <c r="CL97" s="23">
        <v>0</v>
      </c>
      <c r="CM97" s="23">
        <v>0</v>
      </c>
      <c r="CN97" s="23">
        <v>0</v>
      </c>
      <c r="CO97" s="23">
        <v>0</v>
      </c>
      <c r="CP97" s="23">
        <v>0</v>
      </c>
      <c r="CQ97" s="23">
        <v>0</v>
      </c>
      <c r="CR97" s="23">
        <v>0</v>
      </c>
      <c r="CS97" s="23">
        <v>0</v>
      </c>
      <c r="CT97" s="23">
        <v>0</v>
      </c>
      <c r="CU97" s="23">
        <v>0</v>
      </c>
      <c r="CV97" s="23">
        <v>0</v>
      </c>
      <c r="CW97" s="23">
        <v>0</v>
      </c>
      <c r="CX97" s="23">
        <v>0</v>
      </c>
      <c r="CY97" s="23">
        <v>0</v>
      </c>
      <c r="CZ97" s="23">
        <v>0</v>
      </c>
      <c r="DA97" s="23">
        <v>0</v>
      </c>
      <c r="DB97" s="23">
        <v>0</v>
      </c>
      <c r="DC97" s="23">
        <v>0</v>
      </c>
      <c r="DD97" s="23">
        <v>0</v>
      </c>
      <c r="DE97" s="23">
        <v>0</v>
      </c>
      <c r="DF97" s="23">
        <v>0</v>
      </c>
      <c r="DG97" s="23">
        <v>0</v>
      </c>
      <c r="DH97" s="23">
        <v>0</v>
      </c>
      <c r="DI97" s="23">
        <v>0</v>
      </c>
      <c r="DJ97" s="23">
        <v>0</v>
      </c>
      <c r="DK97" s="23">
        <v>0</v>
      </c>
      <c r="DL97" s="23">
        <v>0</v>
      </c>
      <c r="DM97" s="23">
        <v>0</v>
      </c>
      <c r="DN97" s="23">
        <v>0</v>
      </c>
      <c r="DO97" s="23">
        <v>0</v>
      </c>
      <c r="DP97" s="23">
        <v>0</v>
      </c>
      <c r="DQ97" s="23">
        <v>0</v>
      </c>
      <c r="DR97" s="23">
        <v>-0.875</v>
      </c>
      <c r="DS97" s="23">
        <v>0</v>
      </c>
      <c r="DT97" s="23">
        <v>0</v>
      </c>
      <c r="DU97" s="23">
        <v>0</v>
      </c>
      <c r="DV97" s="23">
        <v>0</v>
      </c>
      <c r="DW97" s="23">
        <v>0</v>
      </c>
      <c r="DX97" s="23">
        <v>0</v>
      </c>
      <c r="DY97" s="23">
        <v>0</v>
      </c>
      <c r="DZ97" s="23">
        <v>0</v>
      </c>
      <c r="EA97" s="23">
        <v>0</v>
      </c>
      <c r="EB97" s="23">
        <v>0</v>
      </c>
      <c r="EC97" s="23">
        <v>0</v>
      </c>
      <c r="ED97" s="23">
        <v>-1.125</v>
      </c>
      <c r="EE97" s="23">
        <v>0</v>
      </c>
      <c r="EF97" s="23">
        <v>0</v>
      </c>
      <c r="EG97" s="23">
        <v>0</v>
      </c>
      <c r="EH97" s="23">
        <v>-7.125</v>
      </c>
      <c r="EI97" s="23" cm="1">
        <f t="array" ref="EI97">VLOOKUP(A97,'Opponent List'!$A1:$P137,16,FALSE)</f>
        <v>1.43449482951361</v>
      </c>
      <c r="EJ97" s="23">
        <v>-5.69069429802854</v>
      </c>
    </row>
    <row r="98" ht="13.55" customHeight="1">
      <c r="A98" t="s" s="7">
        <v>47</v>
      </c>
      <c r="B98" s="22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0</v>
      </c>
      <c r="AG98" s="23">
        <v>0</v>
      </c>
      <c r="AH98" s="23">
        <v>0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3">
        <v>0</v>
      </c>
      <c r="AU98" s="23">
        <v>0</v>
      </c>
      <c r="AV98" s="23">
        <v>0</v>
      </c>
      <c r="AW98" s="23">
        <v>0</v>
      </c>
      <c r="AX98" s="23">
        <v>0</v>
      </c>
      <c r="AY98" s="23">
        <v>0</v>
      </c>
      <c r="AZ98" s="23">
        <v>0</v>
      </c>
      <c r="BA98" s="23">
        <v>0</v>
      </c>
      <c r="BB98" s="23">
        <v>0</v>
      </c>
      <c r="BC98" s="23">
        <v>0</v>
      </c>
      <c r="BD98" s="23">
        <v>0</v>
      </c>
      <c r="BE98" s="23">
        <v>0</v>
      </c>
      <c r="BF98" s="23">
        <v>0.875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v>0</v>
      </c>
      <c r="BQ98" s="23">
        <v>0</v>
      </c>
      <c r="BR98" s="23">
        <v>0</v>
      </c>
      <c r="BS98" s="23">
        <v>0</v>
      </c>
      <c r="BT98" s="23">
        <v>0</v>
      </c>
      <c r="BU98" s="23">
        <v>0</v>
      </c>
      <c r="BV98" s="23">
        <v>0</v>
      </c>
      <c r="BW98" s="23">
        <v>0</v>
      </c>
      <c r="BX98" s="23">
        <v>0</v>
      </c>
      <c r="BY98" s="23">
        <v>0.875</v>
      </c>
      <c r="BZ98" s="23">
        <v>0</v>
      </c>
      <c r="CA98" s="23">
        <v>0</v>
      </c>
      <c r="CB98" s="23">
        <v>0</v>
      </c>
      <c r="CC98" s="23">
        <v>0</v>
      </c>
      <c r="CD98" s="23">
        <v>0</v>
      </c>
      <c r="CE98" s="23">
        <v>0</v>
      </c>
      <c r="CF98" s="23">
        <v>0</v>
      </c>
      <c r="CG98" s="23">
        <v>0</v>
      </c>
      <c r="CH98" s="23">
        <v>0</v>
      </c>
      <c r="CI98" s="23">
        <v>0</v>
      </c>
      <c r="CJ98" s="23">
        <v>0</v>
      </c>
      <c r="CK98" s="23">
        <v>0</v>
      </c>
      <c r="CL98" s="23">
        <v>0</v>
      </c>
      <c r="CM98" s="23">
        <v>0</v>
      </c>
      <c r="CN98" s="23">
        <v>0</v>
      </c>
      <c r="CO98" s="23">
        <v>0</v>
      </c>
      <c r="CP98" s="23">
        <v>0</v>
      </c>
      <c r="CQ98" s="23">
        <v>0</v>
      </c>
      <c r="CR98" s="23">
        <v>-0.875</v>
      </c>
      <c r="CS98" s="23">
        <v>0</v>
      </c>
      <c r="CT98" s="23">
        <v>0</v>
      </c>
      <c r="CU98" s="23">
        <v>0</v>
      </c>
      <c r="CV98" s="23">
        <v>0</v>
      </c>
      <c r="CW98" s="23">
        <v>0</v>
      </c>
      <c r="CX98" s="23">
        <v>0</v>
      </c>
      <c r="CY98" s="23">
        <v>0</v>
      </c>
      <c r="CZ98" s="23">
        <v>0</v>
      </c>
      <c r="DA98" s="23">
        <v>0</v>
      </c>
      <c r="DB98" s="23">
        <v>0</v>
      </c>
      <c r="DC98" s="23">
        <v>0</v>
      </c>
      <c r="DD98" s="23">
        <v>0</v>
      </c>
      <c r="DE98" s="23">
        <v>0</v>
      </c>
      <c r="DF98" s="23">
        <v>-1.125</v>
      </c>
      <c r="DG98" s="23">
        <v>0</v>
      </c>
      <c r="DH98" s="23">
        <v>0</v>
      </c>
      <c r="DI98" s="23">
        <v>0</v>
      </c>
      <c r="DJ98" s="23">
        <v>0</v>
      </c>
      <c r="DK98" s="23">
        <v>0</v>
      </c>
      <c r="DL98" s="23">
        <v>0</v>
      </c>
      <c r="DM98" s="23">
        <v>0</v>
      </c>
      <c r="DN98" s="23">
        <v>0</v>
      </c>
      <c r="DO98" s="23">
        <v>0</v>
      </c>
      <c r="DP98" s="23">
        <v>0</v>
      </c>
      <c r="DQ98" s="23">
        <v>0</v>
      </c>
      <c r="DR98" s="23">
        <v>0</v>
      </c>
      <c r="DS98" s="23">
        <v>1.125</v>
      </c>
      <c r="DT98" s="23">
        <v>0</v>
      </c>
      <c r="DU98" s="23">
        <v>0</v>
      </c>
      <c r="DV98" s="23">
        <v>0</v>
      </c>
      <c r="DW98" s="23">
        <v>0</v>
      </c>
      <c r="DX98" s="23">
        <v>0</v>
      </c>
      <c r="DY98" s="23">
        <v>0.875</v>
      </c>
      <c r="DZ98" s="23">
        <v>0</v>
      </c>
      <c r="EA98" s="23">
        <v>0</v>
      </c>
      <c r="EB98" s="23">
        <v>0</v>
      </c>
      <c r="EC98" s="23">
        <v>0</v>
      </c>
      <c r="ED98" s="23">
        <v>-1.125</v>
      </c>
      <c r="EE98" s="23">
        <v>0</v>
      </c>
      <c r="EF98" s="23">
        <v>0</v>
      </c>
      <c r="EG98" s="23">
        <v>0</v>
      </c>
      <c r="EH98" s="23">
        <v>0.625</v>
      </c>
      <c r="EI98" s="23" cm="1">
        <f t="array" ref="EI98">VLOOKUP(A98,'Opponent List'!$A1:$P137,16,FALSE)</f>
        <v>1.55598840221584</v>
      </c>
      <c r="EJ98" s="23">
        <v>2.18077992877894</v>
      </c>
    </row>
    <row r="99" ht="13.55" customHeight="1">
      <c r="A99" t="s" s="7">
        <v>103</v>
      </c>
      <c r="B99" s="22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-1.125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3">
        <v>0</v>
      </c>
      <c r="AU99" s="23">
        <v>0</v>
      </c>
      <c r="AV99" s="23">
        <v>0</v>
      </c>
      <c r="AW99" s="23">
        <v>0</v>
      </c>
      <c r="AX99" s="23">
        <v>0</v>
      </c>
      <c r="AY99" s="23">
        <v>0</v>
      </c>
      <c r="AZ99" s="23">
        <v>0</v>
      </c>
      <c r="BA99" s="23">
        <v>0</v>
      </c>
      <c r="BB99" s="23">
        <v>0</v>
      </c>
      <c r="BC99" s="23">
        <v>0</v>
      </c>
      <c r="BD99" s="23">
        <v>0</v>
      </c>
      <c r="BE99" s="23">
        <v>-0.875</v>
      </c>
      <c r="BF99" s="23">
        <v>0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v>0</v>
      </c>
      <c r="BQ99" s="23">
        <v>0</v>
      </c>
      <c r="BR99" s="23">
        <v>-1.125</v>
      </c>
      <c r="BS99" s="23">
        <v>0</v>
      </c>
      <c r="BT99" s="23">
        <v>0</v>
      </c>
      <c r="BU99" s="23">
        <v>0</v>
      </c>
      <c r="BV99" s="23">
        <v>0</v>
      </c>
      <c r="BW99" s="23">
        <v>0</v>
      </c>
      <c r="BX99" s="23">
        <v>0</v>
      </c>
      <c r="BY99" s="23">
        <v>0</v>
      </c>
      <c r="BZ99" s="23">
        <v>0</v>
      </c>
      <c r="CA99" s="23">
        <v>0</v>
      </c>
      <c r="CB99" s="23">
        <v>0</v>
      </c>
      <c r="CC99" s="23">
        <v>0</v>
      </c>
      <c r="CD99" s="23">
        <v>0</v>
      </c>
      <c r="CE99" s="23">
        <v>-1.125</v>
      </c>
      <c r="CF99" s="23">
        <v>0</v>
      </c>
      <c r="CG99" s="23">
        <v>0</v>
      </c>
      <c r="CH99" s="23">
        <v>0</v>
      </c>
      <c r="CI99" s="23">
        <v>0</v>
      </c>
      <c r="CJ99" s="23">
        <v>0</v>
      </c>
      <c r="CK99" s="23">
        <v>0</v>
      </c>
      <c r="CL99" s="23">
        <v>0</v>
      </c>
      <c r="CM99" s="23">
        <v>0</v>
      </c>
      <c r="CN99" s="23">
        <v>0</v>
      </c>
      <c r="CO99" s="23">
        <v>0</v>
      </c>
      <c r="CP99" s="23">
        <v>0</v>
      </c>
      <c r="CQ99" s="23">
        <v>0</v>
      </c>
      <c r="CR99" s="23">
        <v>0</v>
      </c>
      <c r="CS99" s="23">
        <v>0</v>
      </c>
      <c r="CT99" s="23">
        <v>0</v>
      </c>
      <c r="CU99" s="23">
        <v>0</v>
      </c>
      <c r="CV99" s="23">
        <v>0</v>
      </c>
      <c r="CW99" s="23">
        <v>0</v>
      </c>
      <c r="CX99" s="23">
        <v>0</v>
      </c>
      <c r="CY99" s="23">
        <v>0</v>
      </c>
      <c r="CZ99" s="23">
        <v>0</v>
      </c>
      <c r="DA99" s="23">
        <v>0</v>
      </c>
      <c r="DB99" s="23">
        <v>0</v>
      </c>
      <c r="DC99" s="23">
        <v>0</v>
      </c>
      <c r="DD99" s="23">
        <v>0</v>
      </c>
      <c r="DE99" s="23">
        <v>-1.125</v>
      </c>
      <c r="DF99" s="23">
        <v>0</v>
      </c>
      <c r="DG99" s="23">
        <v>0</v>
      </c>
      <c r="DH99" s="23">
        <v>0</v>
      </c>
      <c r="DI99" s="23">
        <v>0</v>
      </c>
      <c r="DJ99" s="23">
        <v>0</v>
      </c>
      <c r="DK99" s="23">
        <v>0</v>
      </c>
      <c r="DL99" s="23">
        <v>0</v>
      </c>
      <c r="DM99" s="23">
        <v>0</v>
      </c>
      <c r="DN99" s="23">
        <v>0</v>
      </c>
      <c r="DO99" s="23">
        <v>0</v>
      </c>
      <c r="DP99" s="23">
        <v>0</v>
      </c>
      <c r="DQ99" s="23">
        <v>0</v>
      </c>
      <c r="DR99" s="23">
        <v>0</v>
      </c>
      <c r="DS99" s="23">
        <v>0.875</v>
      </c>
      <c r="DT99" s="23">
        <v>0</v>
      </c>
      <c r="DU99" s="23">
        <v>0</v>
      </c>
      <c r="DV99" s="23">
        <v>0</v>
      </c>
      <c r="DW99" s="23">
        <v>0</v>
      </c>
      <c r="DX99" s="23">
        <v>0</v>
      </c>
      <c r="DY99" s="23">
        <v>0</v>
      </c>
      <c r="DZ99" s="23">
        <v>0</v>
      </c>
      <c r="EA99" s="23">
        <v>0</v>
      </c>
      <c r="EB99" s="23">
        <v>0</v>
      </c>
      <c r="EC99" s="23">
        <v>0</v>
      </c>
      <c r="ED99" s="23">
        <v>-0.875</v>
      </c>
      <c r="EE99" s="23">
        <v>0</v>
      </c>
      <c r="EF99" s="23">
        <v>0</v>
      </c>
      <c r="EG99" s="23">
        <v>0</v>
      </c>
      <c r="EH99" s="23">
        <v>-5.375</v>
      </c>
      <c r="EI99" s="23" cm="1">
        <f t="array" ref="EI99">VLOOKUP(A99,'Opponent List'!$A1:$P137,16,FALSE)</f>
        <v>2.80349368317106</v>
      </c>
      <c r="EJ99" s="23">
        <v>-2.57170378386919</v>
      </c>
    </row>
    <row r="100" ht="13.55" customHeight="1">
      <c r="A100" t="s" s="7">
        <v>42</v>
      </c>
      <c r="B100" s="22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0.875</v>
      </c>
      <c r="AH100" s="23">
        <v>0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0.875</v>
      </c>
      <c r="AT100" s="23">
        <v>0</v>
      </c>
      <c r="AU100" s="23">
        <v>0</v>
      </c>
      <c r="AV100" s="23">
        <v>0</v>
      </c>
      <c r="AW100" s="23">
        <v>0</v>
      </c>
      <c r="AX100" s="23">
        <v>0</v>
      </c>
      <c r="AY100" s="23">
        <v>0</v>
      </c>
      <c r="AZ100" s="23">
        <v>0</v>
      </c>
      <c r="BA100" s="23">
        <v>0</v>
      </c>
      <c r="BB100" s="23">
        <v>0</v>
      </c>
      <c r="BC100" s="23">
        <v>0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v>0</v>
      </c>
      <c r="BQ100" s="23">
        <v>0</v>
      </c>
      <c r="BR100" s="23">
        <v>0</v>
      </c>
      <c r="BS100" s="23">
        <v>0</v>
      </c>
      <c r="BT100" s="23">
        <v>0</v>
      </c>
      <c r="BU100" s="23">
        <v>0</v>
      </c>
      <c r="BV100" s="23">
        <v>0</v>
      </c>
      <c r="BW100" s="23">
        <v>0</v>
      </c>
      <c r="BX100" s="23">
        <v>0</v>
      </c>
      <c r="BY100" s="23">
        <v>0</v>
      </c>
      <c r="BZ100" s="23">
        <v>0</v>
      </c>
      <c r="CA100" s="23">
        <v>1.125</v>
      </c>
      <c r="CB100" s="23">
        <v>0</v>
      </c>
      <c r="CC100" s="23">
        <v>0</v>
      </c>
      <c r="CD100" s="23">
        <v>0</v>
      </c>
      <c r="CE100" s="23">
        <v>0</v>
      </c>
      <c r="CF100" s="23">
        <v>0</v>
      </c>
      <c r="CG100" s="23">
        <v>0</v>
      </c>
      <c r="CH100" s="23">
        <v>0</v>
      </c>
      <c r="CI100" s="23">
        <v>0</v>
      </c>
      <c r="CJ100" s="23">
        <v>0</v>
      </c>
      <c r="CK100" s="23">
        <v>0</v>
      </c>
      <c r="CL100" s="23">
        <v>0</v>
      </c>
      <c r="CM100" s="23">
        <v>0</v>
      </c>
      <c r="CN100" s="23">
        <v>0</v>
      </c>
      <c r="CO100" s="23">
        <v>0</v>
      </c>
      <c r="CP100" s="23">
        <v>0</v>
      </c>
      <c r="CQ100" s="23">
        <v>0</v>
      </c>
      <c r="CR100" s="23">
        <v>0</v>
      </c>
      <c r="CS100" s="23">
        <v>0</v>
      </c>
      <c r="CT100" s="23">
        <v>0</v>
      </c>
      <c r="CU100" s="23">
        <v>0</v>
      </c>
      <c r="CV100" s="23">
        <v>0</v>
      </c>
      <c r="CW100" s="23">
        <v>0</v>
      </c>
      <c r="CX100" s="23">
        <v>0</v>
      </c>
      <c r="CY100" s="23">
        <v>0</v>
      </c>
      <c r="CZ100" s="23">
        <v>0</v>
      </c>
      <c r="DA100" s="23">
        <v>0</v>
      </c>
      <c r="DB100" s="23">
        <v>0</v>
      </c>
      <c r="DC100" s="23">
        <v>0</v>
      </c>
      <c r="DD100" s="23">
        <v>0</v>
      </c>
      <c r="DE100" s="23">
        <v>0</v>
      </c>
      <c r="DF100" s="23">
        <v>0</v>
      </c>
      <c r="DG100" s="23">
        <v>0</v>
      </c>
      <c r="DH100" s="23">
        <v>0</v>
      </c>
      <c r="DI100" s="23">
        <v>0</v>
      </c>
      <c r="DJ100" s="23">
        <v>0</v>
      </c>
      <c r="DK100" s="23">
        <v>0</v>
      </c>
      <c r="DL100" s="23">
        <v>0</v>
      </c>
      <c r="DM100" s="23">
        <v>0</v>
      </c>
      <c r="DN100" s="23">
        <v>0.875</v>
      </c>
      <c r="DO100" s="23">
        <v>0</v>
      </c>
      <c r="DP100" s="23">
        <v>0</v>
      </c>
      <c r="DQ100" s="23">
        <v>0</v>
      </c>
      <c r="DR100" s="23">
        <v>0</v>
      </c>
      <c r="DS100" s="23">
        <v>0</v>
      </c>
      <c r="DT100" s="23">
        <v>0</v>
      </c>
      <c r="DU100" s="23">
        <v>0</v>
      </c>
      <c r="DV100" s="23">
        <v>-1.125</v>
      </c>
      <c r="DW100" s="23">
        <v>0</v>
      </c>
      <c r="DX100" s="23">
        <v>-0.875</v>
      </c>
      <c r="DY100" s="23">
        <v>-0.875</v>
      </c>
      <c r="DZ100" s="23">
        <v>0</v>
      </c>
      <c r="EA100" s="23">
        <v>0</v>
      </c>
      <c r="EB100" s="23">
        <v>0</v>
      </c>
      <c r="EC100" s="23">
        <v>0</v>
      </c>
      <c r="ED100" s="23">
        <v>0</v>
      </c>
      <c r="EE100" s="23">
        <v>0</v>
      </c>
      <c r="EF100" s="23">
        <v>0</v>
      </c>
      <c r="EG100" s="23">
        <v>0</v>
      </c>
      <c r="EH100" s="23">
        <v>0.875</v>
      </c>
      <c r="EI100" s="23" cm="1">
        <f t="array" ref="EI100">VLOOKUP(A100,'Opponent List'!$A1:$P137,16,FALSE)</f>
        <v>1.86841535276309</v>
      </c>
      <c r="EJ100" s="23">
        <v>2.74320770982259</v>
      </c>
    </row>
    <row r="101" ht="13.55" customHeight="1">
      <c r="A101" t="s" s="7">
        <v>119</v>
      </c>
      <c r="B101" s="22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0.875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3">
        <v>0</v>
      </c>
      <c r="AE101" s="23">
        <v>-1.125</v>
      </c>
      <c r="AF101" s="23">
        <v>0</v>
      </c>
      <c r="AG101" s="23">
        <v>-1.125</v>
      </c>
      <c r="AH101" s="23">
        <v>0</v>
      </c>
      <c r="AI101" s="23">
        <v>0</v>
      </c>
      <c r="AJ101" s="23">
        <v>0</v>
      </c>
      <c r="AK101" s="23">
        <v>0</v>
      </c>
      <c r="AL101" s="23">
        <v>-0.875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3">
        <v>0</v>
      </c>
      <c r="AU101" s="23">
        <v>0</v>
      </c>
      <c r="AV101" s="23">
        <v>0</v>
      </c>
      <c r="AW101" s="23">
        <v>0</v>
      </c>
      <c r="AX101" s="23">
        <v>0</v>
      </c>
      <c r="AY101" s="23">
        <v>0</v>
      </c>
      <c r="AZ101" s="23">
        <v>0</v>
      </c>
      <c r="BA101" s="23">
        <v>0</v>
      </c>
      <c r="BB101" s="23">
        <v>0</v>
      </c>
      <c r="BC101" s="23">
        <v>0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v>0</v>
      </c>
      <c r="BQ101" s="23">
        <v>0</v>
      </c>
      <c r="BR101" s="23">
        <v>0</v>
      </c>
      <c r="BS101" s="23">
        <v>0</v>
      </c>
      <c r="BT101" s="23">
        <v>0</v>
      </c>
      <c r="BU101" s="23">
        <v>0</v>
      </c>
      <c r="BV101" s="23">
        <v>0</v>
      </c>
      <c r="BW101" s="23">
        <v>0</v>
      </c>
      <c r="BX101" s="23">
        <v>0</v>
      </c>
      <c r="BY101" s="23">
        <v>0</v>
      </c>
      <c r="BZ101" s="23">
        <v>0</v>
      </c>
      <c r="CA101" s="23">
        <v>0</v>
      </c>
      <c r="CB101" s="23">
        <v>0</v>
      </c>
      <c r="CC101" s="23">
        <v>0</v>
      </c>
      <c r="CD101" s="23">
        <v>0</v>
      </c>
      <c r="CE101" s="23">
        <v>0</v>
      </c>
      <c r="CF101" s="23">
        <v>0</v>
      </c>
      <c r="CG101" s="23">
        <v>0</v>
      </c>
      <c r="CH101" s="23">
        <v>0</v>
      </c>
      <c r="CI101" s="23">
        <v>0</v>
      </c>
      <c r="CJ101" s="23">
        <v>0</v>
      </c>
      <c r="CK101" s="23">
        <v>0</v>
      </c>
      <c r="CL101" s="23">
        <v>0</v>
      </c>
      <c r="CM101" s="23">
        <v>0</v>
      </c>
      <c r="CN101" s="23">
        <v>0</v>
      </c>
      <c r="CO101" s="23">
        <v>0</v>
      </c>
      <c r="CP101" s="23">
        <v>0</v>
      </c>
      <c r="CQ101" s="23">
        <v>0</v>
      </c>
      <c r="CR101" s="23">
        <v>0</v>
      </c>
      <c r="CS101" s="23">
        <v>0</v>
      </c>
      <c r="CT101" s="23">
        <v>0</v>
      </c>
      <c r="CU101" s="23">
        <v>0</v>
      </c>
      <c r="CV101" s="23">
        <v>0</v>
      </c>
      <c r="CW101" s="23">
        <v>0</v>
      </c>
      <c r="CX101" s="23">
        <v>0</v>
      </c>
      <c r="CY101" s="23">
        <v>0</v>
      </c>
      <c r="CZ101" s="23">
        <v>0</v>
      </c>
      <c r="DA101" s="23">
        <v>0</v>
      </c>
      <c r="DB101" s="23">
        <v>0</v>
      </c>
      <c r="DC101" s="23">
        <v>0</v>
      </c>
      <c r="DD101" s="23">
        <v>0</v>
      </c>
      <c r="DE101" s="23">
        <v>0</v>
      </c>
      <c r="DF101" s="23">
        <v>0</v>
      </c>
      <c r="DG101" s="23">
        <v>0</v>
      </c>
      <c r="DH101" s="23">
        <v>0</v>
      </c>
      <c r="DI101" s="23">
        <v>-0.875</v>
      </c>
      <c r="DJ101" s="23">
        <v>0</v>
      </c>
      <c r="DK101" s="23">
        <v>0</v>
      </c>
      <c r="DL101" s="23">
        <v>0</v>
      </c>
      <c r="DM101" s="23">
        <v>0</v>
      </c>
      <c r="DN101" s="23">
        <v>0</v>
      </c>
      <c r="DO101" s="23">
        <v>0</v>
      </c>
      <c r="DP101" s="23">
        <v>0.875</v>
      </c>
      <c r="DQ101" s="23">
        <v>0</v>
      </c>
      <c r="DR101" s="23">
        <v>0</v>
      </c>
      <c r="DS101" s="23">
        <v>0</v>
      </c>
      <c r="DT101" s="23">
        <v>-0.875</v>
      </c>
      <c r="DU101" s="23">
        <v>0</v>
      </c>
      <c r="DV101" s="23">
        <v>0</v>
      </c>
      <c r="DW101" s="23">
        <v>0</v>
      </c>
      <c r="DX101" s="23">
        <v>0</v>
      </c>
      <c r="DY101" s="23">
        <v>0</v>
      </c>
      <c r="DZ101" s="23">
        <v>0</v>
      </c>
      <c r="EA101" s="23">
        <v>0</v>
      </c>
      <c r="EB101" s="23">
        <v>0</v>
      </c>
      <c r="EC101" s="23">
        <v>0</v>
      </c>
      <c r="ED101" s="23">
        <v>0</v>
      </c>
      <c r="EE101" s="23">
        <v>0</v>
      </c>
      <c r="EF101" s="23">
        <v>0</v>
      </c>
      <c r="EG101" s="23">
        <v>0</v>
      </c>
      <c r="EH101" s="23">
        <v>-3.125</v>
      </c>
      <c r="EI101" s="23" cm="1">
        <f t="array" ref="EI101">VLOOKUP(A101,'Opponent List'!$A1:$P137,16,FALSE)</f>
        <v>-0.831820151853039</v>
      </c>
      <c r="EJ101" s="23">
        <v>-3.95691937561155</v>
      </c>
    </row>
    <row r="102" ht="13.55" customHeight="1">
      <c r="A102" t="s" s="7">
        <v>73</v>
      </c>
      <c r="B102" s="22">
        <v>0</v>
      </c>
      <c r="C102" s="23">
        <v>0</v>
      </c>
      <c r="D102" s="23">
        <v>0</v>
      </c>
      <c r="E102" s="23">
        <v>0</v>
      </c>
      <c r="F102" s="23">
        <v>-1.125</v>
      </c>
      <c r="G102" s="23">
        <v>0</v>
      </c>
      <c r="H102" s="23">
        <v>0</v>
      </c>
      <c r="I102" s="23">
        <v>0</v>
      </c>
      <c r="J102" s="23">
        <v>0</v>
      </c>
      <c r="K102" s="23">
        <v>-1.125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-0.875</v>
      </c>
      <c r="AD102" s="23">
        <v>0</v>
      </c>
      <c r="AE102" s="23">
        <v>0</v>
      </c>
      <c r="AF102" s="23">
        <v>0</v>
      </c>
      <c r="AG102" s="23">
        <v>0</v>
      </c>
      <c r="AH102" s="23">
        <v>0</v>
      </c>
      <c r="AI102" s="23">
        <v>0</v>
      </c>
      <c r="AJ102" s="23">
        <v>0</v>
      </c>
      <c r="AK102" s="23">
        <v>0.875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3">
        <v>0</v>
      </c>
      <c r="AS102" s="23">
        <v>0</v>
      </c>
      <c r="AT102" s="23">
        <v>0</v>
      </c>
      <c r="AU102" s="23">
        <v>0</v>
      </c>
      <c r="AV102" s="23">
        <v>0</v>
      </c>
      <c r="AW102" s="23">
        <v>0</v>
      </c>
      <c r="AX102" s="23">
        <v>0</v>
      </c>
      <c r="AY102" s="23">
        <v>0</v>
      </c>
      <c r="AZ102" s="23">
        <v>0</v>
      </c>
      <c r="BA102" s="23">
        <v>0</v>
      </c>
      <c r="BB102" s="23">
        <v>0</v>
      </c>
      <c r="BC102" s="23">
        <v>0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3">
        <v>0</v>
      </c>
      <c r="BK102" s="23">
        <v>0.875</v>
      </c>
      <c r="BL102" s="23">
        <v>0</v>
      </c>
      <c r="BM102" s="23">
        <v>0</v>
      </c>
      <c r="BN102" s="23">
        <v>0</v>
      </c>
      <c r="BO102" s="23">
        <v>0</v>
      </c>
      <c r="BP102" s="23">
        <v>0</v>
      </c>
      <c r="BQ102" s="23">
        <v>0</v>
      </c>
      <c r="BR102" s="23">
        <v>0</v>
      </c>
      <c r="BS102" s="23">
        <v>0</v>
      </c>
      <c r="BT102" s="23">
        <v>0</v>
      </c>
      <c r="BU102" s="23">
        <v>0</v>
      </c>
      <c r="BV102" s="23">
        <v>0.875</v>
      </c>
      <c r="BW102" s="23">
        <v>0</v>
      </c>
      <c r="BX102" s="23">
        <v>0</v>
      </c>
      <c r="BY102" s="23">
        <v>0</v>
      </c>
      <c r="BZ102" s="23">
        <v>0</v>
      </c>
      <c r="CA102" s="23">
        <v>0</v>
      </c>
      <c r="CB102" s="23">
        <v>0</v>
      </c>
      <c r="CC102" s="23">
        <v>0</v>
      </c>
      <c r="CD102" s="23">
        <v>0</v>
      </c>
      <c r="CE102" s="23">
        <v>0</v>
      </c>
      <c r="CF102" s="23">
        <v>0</v>
      </c>
      <c r="CG102" s="23">
        <v>0</v>
      </c>
      <c r="CH102" s="23">
        <v>0</v>
      </c>
      <c r="CI102" s="23">
        <v>0</v>
      </c>
      <c r="CJ102" s="23">
        <v>0</v>
      </c>
      <c r="CK102" s="23">
        <v>0</v>
      </c>
      <c r="CL102" s="23">
        <v>0</v>
      </c>
      <c r="CM102" s="23">
        <v>0</v>
      </c>
      <c r="CN102" s="23">
        <v>0</v>
      </c>
      <c r="CO102" s="23">
        <v>0</v>
      </c>
      <c r="CP102" s="23">
        <v>0</v>
      </c>
      <c r="CQ102" s="23">
        <v>0</v>
      </c>
      <c r="CR102" s="23">
        <v>0</v>
      </c>
      <c r="CS102" s="23">
        <v>0</v>
      </c>
      <c r="CT102" s="23">
        <v>0</v>
      </c>
      <c r="CU102" s="23">
        <v>0</v>
      </c>
      <c r="CV102" s="23">
        <v>0</v>
      </c>
      <c r="CW102" s="23">
        <v>0</v>
      </c>
      <c r="CX102" s="23">
        <v>0</v>
      </c>
      <c r="CY102" s="23">
        <v>0</v>
      </c>
      <c r="CZ102" s="23">
        <v>0</v>
      </c>
      <c r="DA102" s="23">
        <v>0</v>
      </c>
      <c r="DB102" s="23">
        <v>0</v>
      </c>
      <c r="DC102" s="23">
        <v>0</v>
      </c>
      <c r="DD102" s="23">
        <v>0</v>
      </c>
      <c r="DE102" s="23">
        <v>0</v>
      </c>
      <c r="DF102" s="23">
        <v>0</v>
      </c>
      <c r="DG102" s="23">
        <v>0</v>
      </c>
      <c r="DH102" s="23">
        <v>0</v>
      </c>
      <c r="DI102" s="23">
        <v>0</v>
      </c>
      <c r="DJ102" s="23">
        <v>0</v>
      </c>
      <c r="DK102" s="23">
        <v>0</v>
      </c>
      <c r="DL102" s="23">
        <v>0</v>
      </c>
      <c r="DM102" s="23">
        <v>0</v>
      </c>
      <c r="DN102" s="23">
        <v>0</v>
      </c>
      <c r="DO102" s="23">
        <v>0</v>
      </c>
      <c r="DP102" s="23">
        <v>1.125</v>
      </c>
      <c r="DQ102" s="23">
        <v>0</v>
      </c>
      <c r="DR102" s="23">
        <v>0</v>
      </c>
      <c r="DS102" s="23">
        <v>0</v>
      </c>
      <c r="DT102" s="23">
        <v>0</v>
      </c>
      <c r="DU102" s="23">
        <v>0</v>
      </c>
      <c r="DV102" s="23">
        <v>0</v>
      </c>
      <c r="DW102" s="23">
        <v>0</v>
      </c>
      <c r="DX102" s="23">
        <v>0</v>
      </c>
      <c r="DY102" s="23">
        <v>0</v>
      </c>
      <c r="DZ102" s="23">
        <v>0</v>
      </c>
      <c r="EA102" s="23">
        <v>0</v>
      </c>
      <c r="EB102" s="23">
        <v>0</v>
      </c>
      <c r="EC102" s="23">
        <v>0</v>
      </c>
      <c r="ED102" s="23">
        <v>0</v>
      </c>
      <c r="EE102" s="23">
        <v>0</v>
      </c>
      <c r="EF102" s="23">
        <v>0</v>
      </c>
      <c r="EG102" s="23">
        <v>0</v>
      </c>
      <c r="EH102" s="23">
        <v>0.625</v>
      </c>
      <c r="EI102" s="23" cm="1">
        <f t="array" ref="EI102">VLOOKUP(A102,'Opponent List'!$A1:$P137,16,FALSE)</f>
        <v>-1.05162283681647</v>
      </c>
      <c r="EJ102" s="23">
        <v>-0.42667333775956</v>
      </c>
    </row>
    <row r="103" ht="13.55" customHeight="1">
      <c r="A103" t="s" s="7">
        <v>125</v>
      </c>
      <c r="B103" s="22">
        <v>0</v>
      </c>
      <c r="C103" s="23">
        <v>0</v>
      </c>
      <c r="D103" s="23">
        <v>0</v>
      </c>
      <c r="E103" s="23">
        <v>0</v>
      </c>
      <c r="F103" s="23">
        <v>-1.125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-1.125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3">
        <v>0</v>
      </c>
      <c r="AU103" s="23">
        <v>0</v>
      </c>
      <c r="AV103" s="23">
        <v>0</v>
      </c>
      <c r="AW103" s="23">
        <v>0</v>
      </c>
      <c r="AX103" s="23">
        <v>0</v>
      </c>
      <c r="AY103" s="23">
        <v>0</v>
      </c>
      <c r="AZ103" s="23">
        <v>0</v>
      </c>
      <c r="BA103" s="23">
        <v>0</v>
      </c>
      <c r="BB103" s="23">
        <v>0</v>
      </c>
      <c r="BC103" s="23">
        <v>0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-1.125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v>0</v>
      </c>
      <c r="BQ103" s="23">
        <v>0</v>
      </c>
      <c r="BR103" s="23">
        <v>0</v>
      </c>
      <c r="BS103" s="23">
        <v>0</v>
      </c>
      <c r="BT103" s="23">
        <v>0</v>
      </c>
      <c r="BU103" s="23">
        <v>0</v>
      </c>
      <c r="BV103" s="23">
        <v>0</v>
      </c>
      <c r="BW103" s="23">
        <v>0</v>
      </c>
      <c r="BX103" s="23">
        <v>0</v>
      </c>
      <c r="BY103" s="23">
        <v>-0.875</v>
      </c>
      <c r="BZ103" s="23">
        <v>0</v>
      </c>
      <c r="CA103" s="23">
        <v>0</v>
      </c>
      <c r="CB103" s="23">
        <v>0</v>
      </c>
      <c r="CC103" s="23">
        <v>0</v>
      </c>
      <c r="CD103" s="23">
        <v>0</v>
      </c>
      <c r="CE103" s="23">
        <v>0</v>
      </c>
      <c r="CF103" s="23">
        <v>0</v>
      </c>
      <c r="CG103" s="23">
        <v>0</v>
      </c>
      <c r="CH103" s="23">
        <v>0</v>
      </c>
      <c r="CI103" s="23">
        <v>0</v>
      </c>
      <c r="CJ103" s="23">
        <v>0</v>
      </c>
      <c r="CK103" s="23">
        <v>0</v>
      </c>
      <c r="CL103" s="23">
        <v>0.875</v>
      </c>
      <c r="CM103" s="23">
        <v>0</v>
      </c>
      <c r="CN103" s="23">
        <v>0</v>
      </c>
      <c r="CO103" s="23">
        <v>0</v>
      </c>
      <c r="CP103" s="23">
        <v>0</v>
      </c>
      <c r="CQ103" s="23">
        <v>0</v>
      </c>
      <c r="CR103" s="23">
        <v>0</v>
      </c>
      <c r="CS103" s="23">
        <v>0</v>
      </c>
      <c r="CT103" s="23">
        <v>0</v>
      </c>
      <c r="CU103" s="23">
        <v>0</v>
      </c>
      <c r="CV103" s="23">
        <v>0</v>
      </c>
      <c r="CW103" s="23">
        <v>0</v>
      </c>
      <c r="CX103" s="23">
        <v>0</v>
      </c>
      <c r="CY103" s="23">
        <v>0</v>
      </c>
      <c r="CZ103" s="23">
        <v>0</v>
      </c>
      <c r="DA103" s="23">
        <v>0</v>
      </c>
      <c r="DB103" s="23">
        <v>0</v>
      </c>
      <c r="DC103" s="23">
        <v>0</v>
      </c>
      <c r="DD103" s="23">
        <v>0</v>
      </c>
      <c r="DE103" s="23">
        <v>0</v>
      </c>
      <c r="DF103" s="23">
        <v>0</v>
      </c>
      <c r="DG103" s="23">
        <v>0</v>
      </c>
      <c r="DH103" s="23">
        <v>0</v>
      </c>
      <c r="DI103" s="23">
        <v>0</v>
      </c>
      <c r="DJ103" s="23">
        <v>0</v>
      </c>
      <c r="DK103" s="23">
        <v>0</v>
      </c>
      <c r="DL103" s="23">
        <v>0</v>
      </c>
      <c r="DM103" s="23">
        <v>0</v>
      </c>
      <c r="DN103" s="23">
        <v>0</v>
      </c>
      <c r="DO103" s="23">
        <v>0</v>
      </c>
      <c r="DP103" s="23">
        <v>0</v>
      </c>
      <c r="DQ103" s="23">
        <v>-0.875</v>
      </c>
      <c r="DR103" s="23">
        <v>0</v>
      </c>
      <c r="DS103" s="23">
        <v>0</v>
      </c>
      <c r="DT103" s="23">
        <v>0</v>
      </c>
      <c r="DU103" s="23">
        <v>0</v>
      </c>
      <c r="DV103" s="23">
        <v>0</v>
      </c>
      <c r="DW103" s="23">
        <v>0</v>
      </c>
      <c r="DX103" s="23">
        <v>0</v>
      </c>
      <c r="DY103" s="23">
        <v>0</v>
      </c>
      <c r="DZ103" s="23">
        <v>0</v>
      </c>
      <c r="EA103" s="23">
        <v>0</v>
      </c>
      <c r="EB103" s="23">
        <v>0</v>
      </c>
      <c r="EC103" s="23">
        <v>0</v>
      </c>
      <c r="ED103" s="23">
        <v>0</v>
      </c>
      <c r="EE103" s="23">
        <v>0</v>
      </c>
      <c r="EF103" s="23">
        <v>-0.875</v>
      </c>
      <c r="EG103" s="23">
        <v>0</v>
      </c>
      <c r="EH103" s="23">
        <v>-5.125</v>
      </c>
      <c r="EI103" s="23" cm="1">
        <f t="array" ref="EI103">VLOOKUP(A103,'Opponent List'!$A1:$P137,16,FALSE)</f>
        <v>0.7776774765633</v>
      </c>
      <c r="EJ103" s="23">
        <v>-4.34735517155842</v>
      </c>
    </row>
    <row r="104" ht="13.55" customHeight="1">
      <c r="A104" t="s" s="7">
        <v>33</v>
      </c>
      <c r="B104" s="22">
        <v>1.125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1.125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>
        <v>0</v>
      </c>
      <c r="AG104" s="23">
        <v>0</v>
      </c>
      <c r="AH104" s="23">
        <v>0</v>
      </c>
      <c r="AI104" s="23">
        <v>0</v>
      </c>
      <c r="AJ104" s="23">
        <v>0</v>
      </c>
      <c r="AK104" s="23">
        <v>1.125</v>
      </c>
      <c r="AL104" s="23">
        <v>0</v>
      </c>
      <c r="AM104" s="23">
        <v>0</v>
      </c>
      <c r="AN104" s="23">
        <v>-0.875</v>
      </c>
      <c r="AO104" s="23">
        <v>0</v>
      </c>
      <c r="AP104" s="23">
        <v>0</v>
      </c>
      <c r="AQ104" s="23">
        <v>0</v>
      </c>
      <c r="AR104" s="23">
        <v>0</v>
      </c>
      <c r="AS104" s="23">
        <v>0</v>
      </c>
      <c r="AT104" s="23">
        <v>0</v>
      </c>
      <c r="AU104" s="23">
        <v>0.875</v>
      </c>
      <c r="AV104" s="23">
        <v>0</v>
      </c>
      <c r="AW104" s="23">
        <v>0</v>
      </c>
      <c r="AX104" s="23">
        <v>0</v>
      </c>
      <c r="AY104" s="23">
        <v>0</v>
      </c>
      <c r="AZ104" s="23">
        <v>0</v>
      </c>
      <c r="BA104" s="23">
        <v>0</v>
      </c>
      <c r="BB104" s="23">
        <v>0</v>
      </c>
      <c r="BC104" s="23">
        <v>0</v>
      </c>
      <c r="BD104" s="23">
        <v>0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v>0</v>
      </c>
      <c r="BQ104" s="23">
        <v>0</v>
      </c>
      <c r="BR104" s="23">
        <v>0</v>
      </c>
      <c r="BS104" s="23">
        <v>0</v>
      </c>
      <c r="BT104" s="23">
        <v>0</v>
      </c>
      <c r="BU104" s="23">
        <v>0</v>
      </c>
      <c r="BV104" s="23">
        <v>0</v>
      </c>
      <c r="BW104" s="23">
        <v>0</v>
      </c>
      <c r="BX104" s="23">
        <v>1.125</v>
      </c>
      <c r="BY104" s="23">
        <v>0</v>
      </c>
      <c r="BZ104" s="23">
        <v>0</v>
      </c>
      <c r="CA104" s="23">
        <v>0</v>
      </c>
      <c r="CB104" s="23">
        <v>0</v>
      </c>
      <c r="CC104" s="23">
        <v>0</v>
      </c>
      <c r="CD104" s="23">
        <v>0</v>
      </c>
      <c r="CE104" s="23">
        <v>0</v>
      </c>
      <c r="CF104" s="23">
        <v>0</v>
      </c>
      <c r="CG104" s="23">
        <v>0</v>
      </c>
      <c r="CH104" s="23">
        <v>0</v>
      </c>
      <c r="CI104" s="23">
        <v>0</v>
      </c>
      <c r="CJ104" s="23">
        <v>0</v>
      </c>
      <c r="CK104" s="23">
        <v>0</v>
      </c>
      <c r="CL104" s="23">
        <v>0</v>
      </c>
      <c r="CM104" s="23">
        <v>0</v>
      </c>
      <c r="CN104" s="23">
        <v>0</v>
      </c>
      <c r="CO104" s="23">
        <v>0</v>
      </c>
      <c r="CP104" s="23">
        <v>0</v>
      </c>
      <c r="CQ104" s="23">
        <v>0</v>
      </c>
      <c r="CR104" s="23">
        <v>0</v>
      </c>
      <c r="CS104" s="23">
        <v>0</v>
      </c>
      <c r="CT104" s="23">
        <v>0</v>
      </c>
      <c r="CU104" s="23">
        <v>0</v>
      </c>
      <c r="CV104" s="23">
        <v>0</v>
      </c>
      <c r="CW104" s="23">
        <v>0</v>
      </c>
      <c r="CX104" s="23">
        <v>0</v>
      </c>
      <c r="CY104" s="23">
        <v>0</v>
      </c>
      <c r="CZ104" s="23">
        <v>0</v>
      </c>
      <c r="DA104" s="23">
        <v>0</v>
      </c>
      <c r="DB104" s="23">
        <v>0</v>
      </c>
      <c r="DC104" s="23">
        <v>0</v>
      </c>
      <c r="DD104" s="23">
        <v>0</v>
      </c>
      <c r="DE104" s="23">
        <v>0</v>
      </c>
      <c r="DF104" s="23">
        <v>0</v>
      </c>
      <c r="DG104" s="23">
        <v>0</v>
      </c>
      <c r="DH104" s="23">
        <v>0</v>
      </c>
      <c r="DI104" s="23">
        <v>0</v>
      </c>
      <c r="DJ104" s="23">
        <v>0</v>
      </c>
      <c r="DK104" s="23">
        <v>0</v>
      </c>
      <c r="DL104" s="23">
        <v>0</v>
      </c>
      <c r="DM104" s="23">
        <v>0</v>
      </c>
      <c r="DN104" s="23">
        <v>0</v>
      </c>
      <c r="DO104" s="23">
        <v>0</v>
      </c>
      <c r="DP104" s="23">
        <v>0</v>
      </c>
      <c r="DQ104" s="23">
        <v>0</v>
      </c>
      <c r="DR104" s="23">
        <v>0</v>
      </c>
      <c r="DS104" s="23">
        <v>0</v>
      </c>
      <c r="DT104" s="23">
        <v>0</v>
      </c>
      <c r="DU104" s="23">
        <v>0</v>
      </c>
      <c r="DV104" s="23">
        <v>0</v>
      </c>
      <c r="DW104" s="23">
        <v>0</v>
      </c>
      <c r="DX104" s="23">
        <v>0</v>
      </c>
      <c r="DY104" s="23">
        <v>0</v>
      </c>
      <c r="DZ104" s="23">
        <v>0</v>
      </c>
      <c r="EA104" s="23">
        <v>0</v>
      </c>
      <c r="EB104" s="23">
        <v>0</v>
      </c>
      <c r="EC104" s="23">
        <v>0</v>
      </c>
      <c r="ED104" s="23">
        <v>0</v>
      </c>
      <c r="EE104" s="23">
        <v>0.875</v>
      </c>
      <c r="EF104" s="23">
        <v>0</v>
      </c>
      <c r="EG104" s="23">
        <v>0</v>
      </c>
      <c r="EH104" s="23">
        <v>5.375</v>
      </c>
      <c r="EI104" s="23" cm="1">
        <f t="array" ref="EI104">VLOOKUP(A104,'Opponent List'!$A1:$P137,16,FALSE)</f>
        <v>-1.90029378085509</v>
      </c>
      <c r="EJ104" s="23">
        <v>3.47491832350742</v>
      </c>
    </row>
    <row r="105" ht="13.55" customHeight="1">
      <c r="A105" t="s" s="7">
        <v>115</v>
      </c>
      <c r="B105" s="22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-1.125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-1.125</v>
      </c>
      <c r="AQ105" s="23">
        <v>0</v>
      </c>
      <c r="AR105" s="23">
        <v>0</v>
      </c>
      <c r="AS105" s="23">
        <v>0</v>
      </c>
      <c r="AT105" s="23">
        <v>0</v>
      </c>
      <c r="AU105" s="23">
        <v>0</v>
      </c>
      <c r="AV105" s="23">
        <v>0</v>
      </c>
      <c r="AW105" s="23">
        <v>0</v>
      </c>
      <c r="AX105" s="23">
        <v>0</v>
      </c>
      <c r="AY105" s="23">
        <v>0</v>
      </c>
      <c r="AZ105" s="23">
        <v>0</v>
      </c>
      <c r="BA105" s="23">
        <v>0</v>
      </c>
      <c r="BB105" s="23">
        <v>0</v>
      </c>
      <c r="BC105" s="23">
        <v>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v>0</v>
      </c>
      <c r="BQ105" s="23">
        <v>0</v>
      </c>
      <c r="BR105" s="23">
        <v>0</v>
      </c>
      <c r="BS105" s="23">
        <v>0</v>
      </c>
      <c r="BT105" s="23">
        <v>-1.125</v>
      </c>
      <c r="BU105" s="23">
        <v>0</v>
      </c>
      <c r="BV105" s="23">
        <v>0</v>
      </c>
      <c r="BW105" s="23">
        <v>0</v>
      </c>
      <c r="BX105" s="23">
        <v>0</v>
      </c>
      <c r="BY105" s="23">
        <v>0</v>
      </c>
      <c r="BZ105" s="23">
        <v>0</v>
      </c>
      <c r="CA105" s="23">
        <v>0</v>
      </c>
      <c r="CB105" s="23">
        <v>0</v>
      </c>
      <c r="CC105" s="23">
        <v>0</v>
      </c>
      <c r="CD105" s="23">
        <v>0</v>
      </c>
      <c r="CE105" s="23">
        <v>0</v>
      </c>
      <c r="CF105" s="23">
        <v>0</v>
      </c>
      <c r="CG105" s="23">
        <v>0</v>
      </c>
      <c r="CH105" s="23">
        <v>0</v>
      </c>
      <c r="CI105" s="23">
        <v>0</v>
      </c>
      <c r="CJ105" s="23">
        <v>0</v>
      </c>
      <c r="CK105" s="23">
        <v>0</v>
      </c>
      <c r="CL105" s="23">
        <v>0</v>
      </c>
      <c r="CM105" s="23">
        <v>0</v>
      </c>
      <c r="CN105" s="23">
        <v>0</v>
      </c>
      <c r="CO105" s="23">
        <v>0</v>
      </c>
      <c r="CP105" s="23">
        <v>0</v>
      </c>
      <c r="CQ105" s="23">
        <v>0</v>
      </c>
      <c r="CR105" s="23">
        <v>0</v>
      </c>
      <c r="CS105" s="23">
        <v>0</v>
      </c>
      <c r="CT105" s="23">
        <v>0</v>
      </c>
      <c r="CU105" s="23">
        <v>0</v>
      </c>
      <c r="CV105" s="23">
        <v>0</v>
      </c>
      <c r="CW105" s="23">
        <v>0</v>
      </c>
      <c r="CX105" s="23">
        <v>0</v>
      </c>
      <c r="CY105" s="23">
        <v>0</v>
      </c>
      <c r="CZ105" s="23">
        <v>0</v>
      </c>
      <c r="DA105" s="23">
        <v>0</v>
      </c>
      <c r="DB105" s="23">
        <v>-1.125</v>
      </c>
      <c r="DC105" s="23">
        <v>0</v>
      </c>
      <c r="DD105" s="23">
        <v>0</v>
      </c>
      <c r="DE105" s="23">
        <v>0</v>
      </c>
      <c r="DF105" s="23">
        <v>0</v>
      </c>
      <c r="DG105" s="23">
        <v>0</v>
      </c>
      <c r="DH105" s="23">
        <v>0</v>
      </c>
      <c r="DI105" s="23">
        <v>0</v>
      </c>
      <c r="DJ105" s="23">
        <v>0</v>
      </c>
      <c r="DK105" s="23">
        <v>0</v>
      </c>
      <c r="DL105" s="23">
        <v>0</v>
      </c>
      <c r="DM105" s="23">
        <v>0</v>
      </c>
      <c r="DN105" s="23">
        <v>0</v>
      </c>
      <c r="DO105" s="23">
        <v>0</v>
      </c>
      <c r="DP105" s="23">
        <v>0</v>
      </c>
      <c r="DQ105" s="23">
        <v>0</v>
      </c>
      <c r="DR105" s="23">
        <v>0</v>
      </c>
      <c r="DS105" s="23">
        <v>0</v>
      </c>
      <c r="DT105" s="23">
        <v>-0.875</v>
      </c>
      <c r="DU105" s="23">
        <v>0</v>
      </c>
      <c r="DV105" s="23">
        <v>0</v>
      </c>
      <c r="DW105" s="23">
        <v>0</v>
      </c>
      <c r="DX105" s="23">
        <v>0</v>
      </c>
      <c r="DY105" s="23">
        <v>0</v>
      </c>
      <c r="DZ105" s="23">
        <v>0</v>
      </c>
      <c r="EA105" s="23">
        <v>0</v>
      </c>
      <c r="EB105" s="23">
        <v>0</v>
      </c>
      <c r="EC105" s="23">
        <v>0</v>
      </c>
      <c r="ED105" s="23">
        <v>0</v>
      </c>
      <c r="EE105" s="23">
        <v>0</v>
      </c>
      <c r="EF105" s="23">
        <v>0</v>
      </c>
      <c r="EG105" s="23">
        <v>0</v>
      </c>
      <c r="EH105" s="23">
        <v>-5.375</v>
      </c>
      <c r="EI105" s="23" cm="1">
        <f t="array" ref="EI105">VLOOKUP(A105,'Opponent List'!$A1:$P137,16,FALSE)</f>
        <v>1.71577978737863</v>
      </c>
      <c r="EJ105" s="23">
        <v>-3.65935390300287</v>
      </c>
    </row>
    <row r="106" ht="13.55" customHeight="1">
      <c r="A106" t="s" s="7">
        <v>29</v>
      </c>
      <c r="B106" s="22">
        <v>0</v>
      </c>
      <c r="C106" s="23">
        <v>0</v>
      </c>
      <c r="D106" s="23">
        <v>0</v>
      </c>
      <c r="E106" s="23">
        <v>0</v>
      </c>
      <c r="F106" s="23">
        <v>-0.875</v>
      </c>
      <c r="G106" s="23">
        <v>0</v>
      </c>
      <c r="H106" s="23">
        <v>0</v>
      </c>
      <c r="I106" s="23">
        <v>0</v>
      </c>
      <c r="J106" s="23">
        <v>0</v>
      </c>
      <c r="K106" s="23">
        <v>1.125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>
        <v>0</v>
      </c>
      <c r="AG106" s="23">
        <v>0</v>
      </c>
      <c r="AH106" s="23">
        <v>0</v>
      </c>
      <c r="AI106" s="23">
        <v>0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1.125</v>
      </c>
      <c r="AP106" s="23">
        <v>0</v>
      </c>
      <c r="AQ106" s="23">
        <v>0</v>
      </c>
      <c r="AR106" s="23">
        <v>0</v>
      </c>
      <c r="AS106" s="23">
        <v>0</v>
      </c>
      <c r="AT106" s="23">
        <v>0</v>
      </c>
      <c r="AU106" s="23">
        <v>0</v>
      </c>
      <c r="AV106" s="23">
        <v>0</v>
      </c>
      <c r="AW106" s="23">
        <v>0</v>
      </c>
      <c r="AX106" s="23">
        <v>0</v>
      </c>
      <c r="AY106" s="23">
        <v>0</v>
      </c>
      <c r="AZ106" s="23">
        <v>0</v>
      </c>
      <c r="BA106" s="23">
        <v>0</v>
      </c>
      <c r="BB106" s="23">
        <v>0</v>
      </c>
      <c r="BC106" s="23">
        <v>0</v>
      </c>
      <c r="BD106" s="23">
        <v>0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v>0</v>
      </c>
      <c r="BQ106" s="23">
        <v>1.125</v>
      </c>
      <c r="BR106" s="23">
        <v>0</v>
      </c>
      <c r="BS106" s="23">
        <v>0</v>
      </c>
      <c r="BT106" s="23">
        <v>0</v>
      </c>
      <c r="BU106" s="23">
        <v>0</v>
      </c>
      <c r="BV106" s="23">
        <v>0</v>
      </c>
      <c r="BW106" s="23">
        <v>0</v>
      </c>
      <c r="BX106" s="23">
        <v>0</v>
      </c>
      <c r="BY106" s="23">
        <v>0</v>
      </c>
      <c r="BZ106" s="23">
        <v>0</v>
      </c>
      <c r="CA106" s="23">
        <v>0</v>
      </c>
      <c r="CB106" s="23">
        <v>0</v>
      </c>
      <c r="CC106" s="23">
        <v>0</v>
      </c>
      <c r="CD106" s="23">
        <v>0</v>
      </c>
      <c r="CE106" s="23">
        <v>0</v>
      </c>
      <c r="CF106" s="23">
        <v>0.875</v>
      </c>
      <c r="CG106" s="23">
        <v>0</v>
      </c>
      <c r="CH106" s="23">
        <v>0</v>
      </c>
      <c r="CI106" s="23">
        <v>0</v>
      </c>
      <c r="CJ106" s="23">
        <v>0</v>
      </c>
      <c r="CK106" s="23">
        <v>0</v>
      </c>
      <c r="CL106" s="23">
        <v>0</v>
      </c>
      <c r="CM106" s="23">
        <v>0</v>
      </c>
      <c r="CN106" s="23">
        <v>0</v>
      </c>
      <c r="CO106" s="23">
        <v>0</v>
      </c>
      <c r="CP106" s="23">
        <v>0</v>
      </c>
      <c r="CQ106" s="23">
        <v>0</v>
      </c>
      <c r="CR106" s="23">
        <v>0</v>
      </c>
      <c r="CS106" s="23">
        <v>0</v>
      </c>
      <c r="CT106" s="23">
        <v>0</v>
      </c>
      <c r="CU106" s="23">
        <v>0</v>
      </c>
      <c r="CV106" s="23">
        <v>0</v>
      </c>
      <c r="CW106" s="23">
        <v>0</v>
      </c>
      <c r="CX106" s="23">
        <v>0</v>
      </c>
      <c r="CY106" s="23">
        <v>0</v>
      </c>
      <c r="CZ106" s="23">
        <v>0</v>
      </c>
      <c r="DA106" s="23">
        <v>1.125</v>
      </c>
      <c r="DB106" s="23">
        <v>0</v>
      </c>
      <c r="DC106" s="23">
        <v>0</v>
      </c>
      <c r="DD106" s="23">
        <v>0</v>
      </c>
      <c r="DE106" s="23">
        <v>0</v>
      </c>
      <c r="DF106" s="23">
        <v>0</v>
      </c>
      <c r="DG106" s="23">
        <v>0</v>
      </c>
      <c r="DH106" s="23">
        <v>0</v>
      </c>
      <c r="DI106" s="23">
        <v>0</v>
      </c>
      <c r="DJ106" s="23">
        <v>0</v>
      </c>
      <c r="DK106" s="23">
        <v>0</v>
      </c>
      <c r="DL106" s="23">
        <v>0</v>
      </c>
      <c r="DM106" s="23">
        <v>0</v>
      </c>
      <c r="DN106" s="23">
        <v>0</v>
      </c>
      <c r="DO106" s="23">
        <v>0</v>
      </c>
      <c r="DP106" s="23">
        <v>0</v>
      </c>
      <c r="DQ106" s="23">
        <v>0</v>
      </c>
      <c r="DR106" s="23">
        <v>0</v>
      </c>
      <c r="DS106" s="23">
        <v>0</v>
      </c>
      <c r="DT106" s="23">
        <v>0</v>
      </c>
      <c r="DU106" s="23">
        <v>0</v>
      </c>
      <c r="DV106" s="23">
        <v>0</v>
      </c>
      <c r="DW106" s="23">
        <v>0</v>
      </c>
      <c r="DX106" s="23">
        <v>0.875</v>
      </c>
      <c r="DY106" s="23">
        <v>0</v>
      </c>
      <c r="DZ106" s="23">
        <v>0</v>
      </c>
      <c r="EA106" s="23">
        <v>0</v>
      </c>
      <c r="EB106" s="23">
        <v>0</v>
      </c>
      <c r="EC106" s="23">
        <v>0</v>
      </c>
      <c r="ED106" s="23">
        <v>0</v>
      </c>
      <c r="EE106" s="23">
        <v>0</v>
      </c>
      <c r="EF106" s="23">
        <v>0</v>
      </c>
      <c r="EG106" s="23">
        <v>0</v>
      </c>
      <c r="EH106" s="23">
        <v>5.375</v>
      </c>
      <c r="EI106" s="23" cm="1">
        <f t="array" ref="EI106">VLOOKUP(A106,'Opponent List'!$A1:$P137,16,FALSE)</f>
        <v>-1.47134857783164</v>
      </c>
      <c r="EJ106" s="23">
        <v>3.90358287595508</v>
      </c>
    </row>
    <row r="107" ht="13.55" customHeight="1">
      <c r="A107" t="s" s="7">
        <v>25</v>
      </c>
      <c r="B107" s="22">
        <v>0</v>
      </c>
      <c r="C107" s="23">
        <v>1.125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0.875</v>
      </c>
      <c r="K107" s="23">
        <v>0</v>
      </c>
      <c r="L107" s="23">
        <v>0</v>
      </c>
      <c r="M107" s="23">
        <v>0</v>
      </c>
      <c r="N107" s="23">
        <v>0</v>
      </c>
      <c r="O107" s="23">
        <v>1.125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0.875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23">
        <v>0</v>
      </c>
      <c r="AP107" s="23">
        <v>0</v>
      </c>
      <c r="AQ107" s="23">
        <v>0</v>
      </c>
      <c r="AR107" s="23">
        <v>0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3">
        <v>0</v>
      </c>
      <c r="AY107" s="23">
        <v>0.875</v>
      </c>
      <c r="AZ107" s="23">
        <v>0</v>
      </c>
      <c r="BA107" s="23">
        <v>0</v>
      </c>
      <c r="BB107" s="23">
        <v>0</v>
      </c>
      <c r="BC107" s="23">
        <v>0</v>
      </c>
      <c r="BD107" s="23">
        <v>0</v>
      </c>
      <c r="BE107" s="23">
        <v>0</v>
      </c>
      <c r="BF107" s="23">
        <v>0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v>0</v>
      </c>
      <c r="BQ107" s="23">
        <v>0</v>
      </c>
      <c r="BR107" s="23">
        <v>0</v>
      </c>
      <c r="BS107" s="23">
        <v>0</v>
      </c>
      <c r="BT107" s="23">
        <v>0</v>
      </c>
      <c r="BU107" s="23">
        <v>0</v>
      </c>
      <c r="BV107" s="23">
        <v>0</v>
      </c>
      <c r="BW107" s="23">
        <v>0</v>
      </c>
      <c r="BX107" s="23">
        <v>0</v>
      </c>
      <c r="BY107" s="23">
        <v>0</v>
      </c>
      <c r="BZ107" s="23">
        <v>0</v>
      </c>
      <c r="CA107" s="23">
        <v>0</v>
      </c>
      <c r="CB107" s="23">
        <v>0</v>
      </c>
      <c r="CC107" s="23">
        <v>0</v>
      </c>
      <c r="CD107" s="23">
        <v>0</v>
      </c>
      <c r="CE107" s="23">
        <v>0</v>
      </c>
      <c r="CF107" s="23">
        <v>0</v>
      </c>
      <c r="CG107" s="23">
        <v>0</v>
      </c>
      <c r="CH107" s="23">
        <v>0</v>
      </c>
      <c r="CI107" s="23">
        <v>0</v>
      </c>
      <c r="CJ107" s="23">
        <v>0</v>
      </c>
      <c r="CK107" s="23">
        <v>0</v>
      </c>
      <c r="CL107" s="23">
        <v>0</v>
      </c>
      <c r="CM107" s="23">
        <v>0.875</v>
      </c>
      <c r="CN107" s="23">
        <v>0</v>
      </c>
      <c r="CO107" s="23">
        <v>0</v>
      </c>
      <c r="CP107" s="23">
        <v>0</v>
      </c>
      <c r="CQ107" s="23">
        <v>0</v>
      </c>
      <c r="CR107" s="23">
        <v>0</v>
      </c>
      <c r="CS107" s="23">
        <v>0</v>
      </c>
      <c r="CT107" s="23">
        <v>0</v>
      </c>
      <c r="CU107" s="23">
        <v>0</v>
      </c>
      <c r="CV107" s="23">
        <v>0</v>
      </c>
      <c r="CW107" s="23">
        <v>0</v>
      </c>
      <c r="CX107" s="23">
        <v>0</v>
      </c>
      <c r="CY107" s="23">
        <v>0</v>
      </c>
      <c r="CZ107" s="23">
        <v>0</v>
      </c>
      <c r="DA107" s="23">
        <v>0</v>
      </c>
      <c r="DB107" s="23">
        <v>0</v>
      </c>
      <c r="DC107" s="23">
        <v>0</v>
      </c>
      <c r="DD107" s="23">
        <v>0</v>
      </c>
      <c r="DE107" s="23">
        <v>0</v>
      </c>
      <c r="DF107" s="23">
        <v>0</v>
      </c>
      <c r="DG107" s="23">
        <v>0</v>
      </c>
      <c r="DH107" s="23">
        <v>0</v>
      </c>
      <c r="DI107" s="23">
        <v>0</v>
      </c>
      <c r="DJ107" s="23">
        <v>0.875</v>
      </c>
      <c r="DK107" s="23">
        <v>0</v>
      </c>
      <c r="DL107" s="23">
        <v>0</v>
      </c>
      <c r="DM107" s="23">
        <v>0</v>
      </c>
      <c r="DN107" s="23">
        <v>0</v>
      </c>
      <c r="DO107" s="23">
        <v>0</v>
      </c>
      <c r="DP107" s="23">
        <v>0</v>
      </c>
      <c r="DQ107" s="23">
        <v>0</v>
      </c>
      <c r="DR107" s="23">
        <v>0</v>
      </c>
      <c r="DS107" s="23">
        <v>0</v>
      </c>
      <c r="DT107" s="23">
        <v>0</v>
      </c>
      <c r="DU107" s="23">
        <v>0</v>
      </c>
      <c r="DV107" s="23">
        <v>0</v>
      </c>
      <c r="DW107" s="23">
        <v>0</v>
      </c>
      <c r="DX107" s="23">
        <v>0</v>
      </c>
      <c r="DY107" s="23">
        <v>0</v>
      </c>
      <c r="DZ107" s="23">
        <v>0</v>
      </c>
      <c r="EA107" s="23">
        <v>0</v>
      </c>
      <c r="EB107" s="23">
        <v>0</v>
      </c>
      <c r="EC107" s="23">
        <v>0</v>
      </c>
      <c r="ED107" s="23">
        <v>0</v>
      </c>
      <c r="EE107" s="23">
        <v>0</v>
      </c>
      <c r="EF107" s="23">
        <v>0</v>
      </c>
      <c r="EG107" s="23">
        <v>0</v>
      </c>
      <c r="EH107" s="23">
        <v>6.625</v>
      </c>
      <c r="EI107" s="23" cm="1">
        <f t="array" ref="EI107">VLOOKUP(A107,'Opponent List'!$A1:$P137,16,FALSE)</f>
        <v>-2.35964675917123</v>
      </c>
      <c r="EJ107" s="23">
        <v>4.26570683475592</v>
      </c>
    </row>
    <row r="108" ht="13.55" customHeight="1">
      <c r="A108" t="s" s="7">
        <v>78</v>
      </c>
      <c r="B108" s="22">
        <v>0.875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1.125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3">
        <v>0</v>
      </c>
      <c r="AS108" s="23">
        <v>0</v>
      </c>
      <c r="AT108" s="23">
        <v>0</v>
      </c>
      <c r="AU108" s="23">
        <v>0</v>
      </c>
      <c r="AV108" s="23">
        <v>0</v>
      </c>
      <c r="AW108" s="23">
        <v>0</v>
      </c>
      <c r="AX108" s="23">
        <v>0</v>
      </c>
      <c r="AY108" s="23">
        <v>0</v>
      </c>
      <c r="AZ108" s="23">
        <v>0</v>
      </c>
      <c r="BA108" s="23">
        <v>0</v>
      </c>
      <c r="BB108" s="23">
        <v>-0.875</v>
      </c>
      <c r="BC108" s="23">
        <v>0</v>
      </c>
      <c r="BD108" s="23">
        <v>0</v>
      </c>
      <c r="BE108" s="23">
        <v>0</v>
      </c>
      <c r="BF108" s="23">
        <v>0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v>-0.875</v>
      </c>
      <c r="BQ108" s="23">
        <v>0</v>
      </c>
      <c r="BR108" s="23">
        <v>0</v>
      </c>
      <c r="BS108" s="23">
        <v>0</v>
      </c>
      <c r="BT108" s="23">
        <v>0</v>
      </c>
      <c r="BU108" s="23">
        <v>0</v>
      </c>
      <c r="BV108" s="23">
        <v>0</v>
      </c>
      <c r="BW108" s="23">
        <v>0</v>
      </c>
      <c r="BX108" s="23">
        <v>0</v>
      </c>
      <c r="BY108" s="23">
        <v>0</v>
      </c>
      <c r="BZ108" s="23">
        <v>-0.875</v>
      </c>
      <c r="CA108" s="23">
        <v>0</v>
      </c>
      <c r="CB108" s="23">
        <v>0</v>
      </c>
      <c r="CC108" s="23">
        <v>0</v>
      </c>
      <c r="CD108" s="23">
        <v>0</v>
      </c>
      <c r="CE108" s="23">
        <v>0</v>
      </c>
      <c r="CF108" s="23">
        <v>0</v>
      </c>
      <c r="CG108" s="23">
        <v>0</v>
      </c>
      <c r="CH108" s="23">
        <v>0</v>
      </c>
      <c r="CI108" s="23">
        <v>0</v>
      </c>
      <c r="CJ108" s="23">
        <v>0</v>
      </c>
      <c r="CK108" s="23">
        <v>0</v>
      </c>
      <c r="CL108" s="23">
        <v>0</v>
      </c>
      <c r="CM108" s="23">
        <v>0</v>
      </c>
      <c r="CN108" s="23">
        <v>0</v>
      </c>
      <c r="CO108" s="23">
        <v>0</v>
      </c>
      <c r="CP108" s="23">
        <v>0</v>
      </c>
      <c r="CQ108" s="23">
        <v>0</v>
      </c>
      <c r="CR108" s="23">
        <v>0</v>
      </c>
      <c r="CS108" s="23">
        <v>0</v>
      </c>
      <c r="CT108" s="23">
        <v>0</v>
      </c>
      <c r="CU108" s="23">
        <v>0</v>
      </c>
      <c r="CV108" s="23">
        <v>0</v>
      </c>
      <c r="CW108" s="23">
        <v>0</v>
      </c>
      <c r="CX108" s="23">
        <v>0</v>
      </c>
      <c r="CY108" s="23">
        <v>0</v>
      </c>
      <c r="CZ108" s="23">
        <v>0</v>
      </c>
      <c r="DA108" s="23">
        <v>0</v>
      </c>
      <c r="DB108" s="23">
        <v>0</v>
      </c>
      <c r="DC108" s="23">
        <v>0</v>
      </c>
      <c r="DD108" s="23">
        <v>0</v>
      </c>
      <c r="DE108" s="23">
        <v>0</v>
      </c>
      <c r="DF108" s="23">
        <v>0</v>
      </c>
      <c r="DG108" s="23">
        <v>-1.125</v>
      </c>
      <c r="DH108" s="23">
        <v>0</v>
      </c>
      <c r="DI108" s="23">
        <v>-0.875</v>
      </c>
      <c r="DJ108" s="23">
        <v>0</v>
      </c>
      <c r="DK108" s="23">
        <v>0</v>
      </c>
      <c r="DL108" s="23">
        <v>0</v>
      </c>
      <c r="DM108" s="23">
        <v>0</v>
      </c>
      <c r="DN108" s="23">
        <v>0</v>
      </c>
      <c r="DO108" s="23">
        <v>0</v>
      </c>
      <c r="DP108" s="23">
        <v>0</v>
      </c>
      <c r="DQ108" s="23">
        <v>0</v>
      </c>
      <c r="DR108" s="23">
        <v>0</v>
      </c>
      <c r="DS108" s="23">
        <v>0</v>
      </c>
      <c r="DT108" s="23">
        <v>0</v>
      </c>
      <c r="DU108" s="23">
        <v>0</v>
      </c>
      <c r="DV108" s="23">
        <v>0</v>
      </c>
      <c r="DW108" s="23">
        <v>0</v>
      </c>
      <c r="DX108" s="23">
        <v>0</v>
      </c>
      <c r="DY108" s="23">
        <v>0</v>
      </c>
      <c r="DZ108" s="23">
        <v>0</v>
      </c>
      <c r="EA108" s="23">
        <v>0</v>
      </c>
      <c r="EB108" s="23">
        <v>0</v>
      </c>
      <c r="EC108" s="23">
        <v>0</v>
      </c>
      <c r="ED108" s="23">
        <v>0</v>
      </c>
      <c r="EE108" s="23">
        <v>0</v>
      </c>
      <c r="EF108" s="23">
        <v>0</v>
      </c>
      <c r="EG108" s="23">
        <v>0</v>
      </c>
      <c r="EH108" s="23">
        <v>-2.625</v>
      </c>
      <c r="EI108" s="23" cm="1">
        <f t="array" ref="EI108">VLOOKUP(A108,'Opponent List'!$A1:$P137,16,FALSE)</f>
        <v>1.8529241624794</v>
      </c>
      <c r="EJ108" s="23">
        <v>-0.7722108176382</v>
      </c>
    </row>
    <row r="109" ht="13.55" customHeight="1">
      <c r="A109" t="s" s="7">
        <v>12</v>
      </c>
      <c r="B109" s="22">
        <v>0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1.125</v>
      </c>
      <c r="AB109" s="23">
        <v>0</v>
      </c>
      <c r="AC109" s="23">
        <v>0</v>
      </c>
      <c r="AD109" s="23">
        <v>0</v>
      </c>
      <c r="AE109" s="23">
        <v>0</v>
      </c>
      <c r="AF109" s="23">
        <v>0.875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3">
        <v>0</v>
      </c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1.125</v>
      </c>
      <c r="BN109" s="23">
        <v>0</v>
      </c>
      <c r="BO109" s="23">
        <v>0</v>
      </c>
      <c r="BP109" s="23">
        <v>0</v>
      </c>
      <c r="BQ109" s="23">
        <v>1.125</v>
      </c>
      <c r="BR109" s="23">
        <v>0</v>
      </c>
      <c r="BS109" s="23">
        <v>0</v>
      </c>
      <c r="BT109" s="23">
        <v>0</v>
      </c>
      <c r="BU109" s="23">
        <v>0</v>
      </c>
      <c r="BV109" s="23">
        <v>0</v>
      </c>
      <c r="BW109" s="23">
        <v>0</v>
      </c>
      <c r="BX109" s="23">
        <v>0</v>
      </c>
      <c r="BY109" s="23">
        <v>0</v>
      </c>
      <c r="BZ109" s="23">
        <v>0</v>
      </c>
      <c r="CA109" s="23">
        <v>0</v>
      </c>
      <c r="CB109" s="23">
        <v>0</v>
      </c>
      <c r="CC109" s="23">
        <v>0</v>
      </c>
      <c r="CD109" s="23">
        <v>0</v>
      </c>
      <c r="CE109" s="23">
        <v>0</v>
      </c>
      <c r="CF109" s="23">
        <v>0</v>
      </c>
      <c r="CG109" s="23">
        <v>0</v>
      </c>
      <c r="CH109" s="23">
        <v>0</v>
      </c>
      <c r="CI109" s="23">
        <v>0</v>
      </c>
      <c r="CJ109" s="23">
        <v>0</v>
      </c>
      <c r="CK109" s="23">
        <v>0</v>
      </c>
      <c r="CL109" s="23">
        <v>0</v>
      </c>
      <c r="CM109" s="23">
        <v>0</v>
      </c>
      <c r="CN109" s="23">
        <v>0</v>
      </c>
      <c r="CO109" s="23">
        <v>0</v>
      </c>
      <c r="CP109" s="23">
        <v>0</v>
      </c>
      <c r="CQ109" s="23">
        <v>0</v>
      </c>
      <c r="CR109" s="23">
        <v>1.125</v>
      </c>
      <c r="CS109" s="23">
        <v>0</v>
      </c>
      <c r="CT109" s="23">
        <v>0</v>
      </c>
      <c r="CU109" s="23">
        <v>1.125</v>
      </c>
      <c r="CV109" s="23">
        <v>0</v>
      </c>
      <c r="CW109" s="23">
        <v>0</v>
      </c>
      <c r="CX109" s="23">
        <v>0</v>
      </c>
      <c r="CY109" s="23">
        <v>0</v>
      </c>
      <c r="CZ109" s="23">
        <v>0</v>
      </c>
      <c r="DA109" s="23">
        <v>0</v>
      </c>
      <c r="DB109" s="23">
        <v>0</v>
      </c>
      <c r="DC109" s="23">
        <v>0</v>
      </c>
      <c r="DD109" s="23">
        <v>0</v>
      </c>
      <c r="DE109" s="23">
        <v>0</v>
      </c>
      <c r="DF109" s="23">
        <v>0</v>
      </c>
      <c r="DG109" s="23">
        <v>0</v>
      </c>
      <c r="DH109" s="23">
        <v>0</v>
      </c>
      <c r="DI109" s="23">
        <v>0</v>
      </c>
      <c r="DJ109" s="23">
        <v>0</v>
      </c>
      <c r="DK109" s="23">
        <v>0</v>
      </c>
      <c r="DL109" s="23">
        <v>0</v>
      </c>
      <c r="DM109" s="23">
        <v>0</v>
      </c>
      <c r="DN109" s="23">
        <v>0</v>
      </c>
      <c r="DO109" s="23">
        <v>0</v>
      </c>
      <c r="DP109" s="23">
        <v>0</v>
      </c>
      <c r="DQ109" s="23">
        <v>0</v>
      </c>
      <c r="DR109" s="23">
        <v>0</v>
      </c>
      <c r="DS109" s="23">
        <v>0</v>
      </c>
      <c r="DT109" s="23">
        <v>0</v>
      </c>
      <c r="DU109" s="23">
        <v>0</v>
      </c>
      <c r="DV109" s="23">
        <v>0</v>
      </c>
      <c r="DW109" s="23">
        <v>0</v>
      </c>
      <c r="DX109" s="23">
        <v>0</v>
      </c>
      <c r="DY109" s="23">
        <v>0</v>
      </c>
      <c r="DZ109" s="23">
        <v>0</v>
      </c>
      <c r="EA109" s="23">
        <v>0</v>
      </c>
      <c r="EB109" s="23">
        <v>0.875</v>
      </c>
      <c r="EC109" s="23">
        <v>0</v>
      </c>
      <c r="ED109" s="23">
        <v>0</v>
      </c>
      <c r="EE109" s="23">
        <v>0</v>
      </c>
      <c r="EF109" s="23">
        <v>0</v>
      </c>
      <c r="EG109" s="23">
        <v>0</v>
      </c>
      <c r="EH109" s="23">
        <v>7.375</v>
      </c>
      <c r="EI109" s="23" cm="1">
        <f t="array" ref="EI109">VLOOKUP(A109,'Opponent List'!$A1:$P137,16,FALSE)</f>
        <v>-1.77529753379992</v>
      </c>
      <c r="EJ109" s="23">
        <v>5.59982769875114</v>
      </c>
    </row>
    <row r="110" ht="13.55" customHeight="1">
      <c r="A110" t="s" s="7">
        <v>10</v>
      </c>
      <c r="B110" s="22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23">
        <v>0</v>
      </c>
      <c r="AD110" s="23">
        <v>0</v>
      </c>
      <c r="AE110" s="23">
        <v>0</v>
      </c>
      <c r="AF110" s="23">
        <v>0.875</v>
      </c>
      <c r="AG110" s="23">
        <v>0</v>
      </c>
      <c r="AH110" s="23">
        <v>0</v>
      </c>
      <c r="AI110" s="23">
        <v>0</v>
      </c>
      <c r="AJ110" s="23">
        <v>1.125</v>
      </c>
      <c r="AK110" s="23">
        <v>0</v>
      </c>
      <c r="AL110" s="23">
        <v>0</v>
      </c>
      <c r="AM110" s="23">
        <v>0</v>
      </c>
      <c r="AN110" s="23">
        <v>0</v>
      </c>
      <c r="AO110" s="23">
        <v>0</v>
      </c>
      <c r="AP110" s="23">
        <v>0</v>
      </c>
      <c r="AQ110" s="23">
        <v>0</v>
      </c>
      <c r="AR110" s="23">
        <v>1.75</v>
      </c>
      <c r="AS110" s="23">
        <v>0</v>
      </c>
      <c r="AT110" s="23">
        <v>0</v>
      </c>
      <c r="AU110" s="23">
        <v>0</v>
      </c>
      <c r="AV110" s="23">
        <v>0</v>
      </c>
      <c r="AW110" s="23">
        <v>0</v>
      </c>
      <c r="AX110" s="23">
        <v>0</v>
      </c>
      <c r="AY110" s="23">
        <v>0</v>
      </c>
      <c r="AZ110" s="23">
        <v>0.875</v>
      </c>
      <c r="BA110" s="23">
        <v>0</v>
      </c>
      <c r="BB110" s="23">
        <v>0</v>
      </c>
      <c r="BC110" s="23">
        <v>0</v>
      </c>
      <c r="BD110" s="23">
        <v>0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v>0</v>
      </c>
      <c r="BQ110" s="23">
        <v>0</v>
      </c>
      <c r="BR110" s="23">
        <v>0</v>
      </c>
      <c r="BS110" s="23">
        <v>0</v>
      </c>
      <c r="BT110" s="23">
        <v>0</v>
      </c>
      <c r="BU110" s="23">
        <v>0</v>
      </c>
      <c r="BV110" s="23">
        <v>0</v>
      </c>
      <c r="BW110" s="23">
        <v>0</v>
      </c>
      <c r="BX110" s="23">
        <v>0</v>
      </c>
      <c r="BY110" s="23">
        <v>0</v>
      </c>
      <c r="BZ110" s="23">
        <v>0</v>
      </c>
      <c r="CA110" s="23">
        <v>0</v>
      </c>
      <c r="CB110" s="23">
        <v>0</v>
      </c>
      <c r="CC110" s="23">
        <v>0</v>
      </c>
      <c r="CD110" s="23">
        <v>0</v>
      </c>
      <c r="CE110" s="23">
        <v>0</v>
      </c>
      <c r="CF110" s="23">
        <v>0</v>
      </c>
      <c r="CG110" s="23">
        <v>0</v>
      </c>
      <c r="CH110" s="23">
        <v>0</v>
      </c>
      <c r="CI110" s="23">
        <v>0</v>
      </c>
      <c r="CJ110" s="23">
        <v>0</v>
      </c>
      <c r="CK110" s="23">
        <v>0</v>
      </c>
      <c r="CL110" s="23">
        <v>0</v>
      </c>
      <c r="CM110" s="23">
        <v>0</v>
      </c>
      <c r="CN110" s="23">
        <v>0</v>
      </c>
      <c r="CO110" s="23">
        <v>0</v>
      </c>
      <c r="CP110" s="23">
        <v>0</v>
      </c>
      <c r="CQ110" s="23">
        <v>0</v>
      </c>
      <c r="CR110" s="23">
        <v>0</v>
      </c>
      <c r="CS110" s="23">
        <v>0</v>
      </c>
      <c r="CT110" s="23">
        <v>1.125</v>
      </c>
      <c r="CU110" s="23">
        <v>0</v>
      </c>
      <c r="CV110" s="23">
        <v>0</v>
      </c>
      <c r="CW110" s="23">
        <v>0</v>
      </c>
      <c r="CX110" s="23">
        <v>0</v>
      </c>
      <c r="CY110" s="23">
        <v>0</v>
      </c>
      <c r="CZ110" s="23">
        <v>0</v>
      </c>
      <c r="DA110" s="23">
        <v>0</v>
      </c>
      <c r="DB110" s="23">
        <v>0</v>
      </c>
      <c r="DC110" s="23">
        <v>0</v>
      </c>
      <c r="DD110" s="23">
        <v>0</v>
      </c>
      <c r="DE110" s="23">
        <v>0</v>
      </c>
      <c r="DF110" s="23">
        <v>0</v>
      </c>
      <c r="DG110" s="23">
        <v>0</v>
      </c>
      <c r="DH110" s="23">
        <v>0</v>
      </c>
      <c r="DI110" s="23">
        <v>0</v>
      </c>
      <c r="DJ110" s="23">
        <v>0</v>
      </c>
      <c r="DK110" s="23">
        <v>0</v>
      </c>
      <c r="DL110" s="23">
        <v>0</v>
      </c>
      <c r="DM110" s="23">
        <v>0</v>
      </c>
      <c r="DN110" s="23">
        <v>0</v>
      </c>
      <c r="DO110" s="23">
        <v>0</v>
      </c>
      <c r="DP110" s="23">
        <v>0</v>
      </c>
      <c r="DQ110" s="23">
        <v>-1.125</v>
      </c>
      <c r="DR110" s="23">
        <v>0</v>
      </c>
      <c r="DS110" s="23">
        <v>0</v>
      </c>
      <c r="DT110" s="23">
        <v>0</v>
      </c>
      <c r="DU110" s="23">
        <v>0</v>
      </c>
      <c r="DV110" s="23">
        <v>0</v>
      </c>
      <c r="DW110" s="23">
        <v>0</v>
      </c>
      <c r="DX110" s="23">
        <v>0</v>
      </c>
      <c r="DY110" s="23">
        <v>0</v>
      </c>
      <c r="DZ110" s="23">
        <v>0</v>
      </c>
      <c r="EA110" s="23">
        <v>0</v>
      </c>
      <c r="EB110" s="23">
        <v>0</v>
      </c>
      <c r="EC110" s="23">
        <v>0</v>
      </c>
      <c r="ED110" s="23">
        <v>0</v>
      </c>
      <c r="EE110" s="23">
        <v>0</v>
      </c>
      <c r="EF110" s="23">
        <v>0</v>
      </c>
      <c r="EG110" s="23">
        <v>0</v>
      </c>
      <c r="EH110" s="23">
        <v>4.625</v>
      </c>
      <c r="EI110" s="23" cm="1">
        <f t="array" ref="EI110">VLOOKUP(A110,'Opponent List'!$A1:$P137,16,FALSE)</f>
        <v>1.36324965162176</v>
      </c>
      <c r="EJ110" s="23">
        <v>5.98822025778287</v>
      </c>
    </row>
    <row r="111" ht="13.55" customHeight="1">
      <c r="A111" t="s" s="7">
        <v>22</v>
      </c>
      <c r="B111" s="22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0.875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1.125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3">
        <v>0</v>
      </c>
      <c r="AM111" s="23">
        <v>0</v>
      </c>
      <c r="AN111" s="23">
        <v>0</v>
      </c>
      <c r="AO111" s="23">
        <v>0</v>
      </c>
      <c r="AP111" s="23">
        <v>0</v>
      </c>
      <c r="AQ111" s="23">
        <v>0</v>
      </c>
      <c r="AR111" s="23">
        <v>0</v>
      </c>
      <c r="AS111" s="23">
        <v>0</v>
      </c>
      <c r="AT111" s="23">
        <v>0</v>
      </c>
      <c r="AU111" s="23">
        <v>0</v>
      </c>
      <c r="AV111" s="23">
        <v>0</v>
      </c>
      <c r="AW111" s="23">
        <v>0</v>
      </c>
      <c r="AX111" s="23">
        <v>1.125</v>
      </c>
      <c r="AY111" s="23">
        <v>0</v>
      </c>
      <c r="AZ111" s="23">
        <v>0</v>
      </c>
      <c r="BA111" s="23">
        <v>0</v>
      </c>
      <c r="BB111" s="23">
        <v>0</v>
      </c>
      <c r="BC111" s="23">
        <v>0</v>
      </c>
      <c r="BD111" s="23">
        <v>0</v>
      </c>
      <c r="BE111" s="23">
        <v>0</v>
      </c>
      <c r="BF111" s="23">
        <v>0</v>
      </c>
      <c r="BG111" s="23">
        <v>0</v>
      </c>
      <c r="BH111" s="23">
        <v>0</v>
      </c>
      <c r="BI111" s="23">
        <v>-1.125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v>0</v>
      </c>
      <c r="BQ111" s="23">
        <v>0</v>
      </c>
      <c r="BR111" s="23">
        <v>0</v>
      </c>
      <c r="BS111" s="23">
        <v>0</v>
      </c>
      <c r="BT111" s="23">
        <v>0</v>
      </c>
      <c r="BU111" s="23">
        <v>0</v>
      </c>
      <c r="BV111" s="23">
        <v>0</v>
      </c>
      <c r="BW111" s="23">
        <v>0</v>
      </c>
      <c r="BX111" s="23">
        <v>0</v>
      </c>
      <c r="BY111" s="23">
        <v>0</v>
      </c>
      <c r="BZ111" s="23">
        <v>0</v>
      </c>
      <c r="CA111" s="23">
        <v>0</v>
      </c>
      <c r="CB111" s="23">
        <v>0</v>
      </c>
      <c r="CC111" s="23">
        <v>0</v>
      </c>
      <c r="CD111" s="23">
        <v>0</v>
      </c>
      <c r="CE111" s="23">
        <v>0</v>
      </c>
      <c r="CF111" s="23">
        <v>0</v>
      </c>
      <c r="CG111" s="23">
        <v>0</v>
      </c>
      <c r="CH111" s="23">
        <v>0</v>
      </c>
      <c r="CI111" s="23">
        <v>0</v>
      </c>
      <c r="CJ111" s="23">
        <v>0</v>
      </c>
      <c r="CK111" s="23">
        <v>0</v>
      </c>
      <c r="CL111" s="23">
        <v>0</v>
      </c>
      <c r="CM111" s="23">
        <v>0</v>
      </c>
      <c r="CN111" s="23">
        <v>0</v>
      </c>
      <c r="CO111" s="23">
        <v>0</v>
      </c>
      <c r="CP111" s="23">
        <v>0</v>
      </c>
      <c r="CQ111" s="23">
        <v>0</v>
      </c>
      <c r="CR111" s="23">
        <v>0</v>
      </c>
      <c r="CS111" s="23">
        <v>0</v>
      </c>
      <c r="CT111" s="23">
        <v>0</v>
      </c>
      <c r="CU111" s="23">
        <v>0</v>
      </c>
      <c r="CV111" s="23">
        <v>0</v>
      </c>
      <c r="CW111" s="23">
        <v>0</v>
      </c>
      <c r="CX111" s="23">
        <v>0</v>
      </c>
      <c r="CY111" s="23">
        <v>0</v>
      </c>
      <c r="CZ111" s="23">
        <v>0</v>
      </c>
      <c r="DA111" s="23">
        <v>0</v>
      </c>
      <c r="DB111" s="23">
        <v>0</v>
      </c>
      <c r="DC111" s="23">
        <v>0</v>
      </c>
      <c r="DD111" s="23">
        <v>1.125</v>
      </c>
      <c r="DE111" s="23">
        <v>0</v>
      </c>
      <c r="DF111" s="23">
        <v>0</v>
      </c>
      <c r="DG111" s="23">
        <v>0</v>
      </c>
      <c r="DH111" s="23">
        <v>0</v>
      </c>
      <c r="DI111" s="23">
        <v>0</v>
      </c>
      <c r="DJ111" s="23">
        <v>1.125</v>
      </c>
      <c r="DK111" s="23">
        <v>0</v>
      </c>
      <c r="DL111" s="23">
        <v>0</v>
      </c>
      <c r="DM111" s="23">
        <v>1.125</v>
      </c>
      <c r="DN111" s="23">
        <v>0</v>
      </c>
      <c r="DO111" s="23">
        <v>0</v>
      </c>
      <c r="DP111" s="23">
        <v>0</v>
      </c>
      <c r="DQ111" s="23">
        <v>0</v>
      </c>
      <c r="DR111" s="23">
        <v>0</v>
      </c>
      <c r="DS111" s="23">
        <v>0</v>
      </c>
      <c r="DT111" s="23">
        <v>0</v>
      </c>
      <c r="DU111" s="23">
        <v>0</v>
      </c>
      <c r="DV111" s="23">
        <v>0</v>
      </c>
      <c r="DW111" s="23">
        <v>0</v>
      </c>
      <c r="DX111" s="23">
        <v>0</v>
      </c>
      <c r="DY111" s="23">
        <v>0</v>
      </c>
      <c r="DZ111" s="23">
        <v>0</v>
      </c>
      <c r="EA111" s="23">
        <v>0</v>
      </c>
      <c r="EB111" s="23">
        <v>0</v>
      </c>
      <c r="EC111" s="23">
        <v>0</v>
      </c>
      <c r="ED111" s="23">
        <v>0</v>
      </c>
      <c r="EE111" s="23">
        <v>0</v>
      </c>
      <c r="EF111" s="23">
        <v>0</v>
      </c>
      <c r="EG111" s="23">
        <v>0</v>
      </c>
      <c r="EH111" s="23">
        <v>5.375</v>
      </c>
      <c r="EI111" s="23" cm="1">
        <f t="array" ref="EI111">VLOOKUP(A111,'Opponent List'!$A1:$P137,16,FALSE)</f>
        <v>-0.816331723863934</v>
      </c>
      <c r="EJ111" s="23">
        <v>4.55887600155886</v>
      </c>
    </row>
    <row r="112" ht="13.55" customHeight="1">
      <c r="A112" t="s" s="7">
        <v>107</v>
      </c>
      <c r="B112" s="22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3">
        <v>0</v>
      </c>
      <c r="AH112" s="23">
        <v>0</v>
      </c>
      <c r="AI112" s="23">
        <v>0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23">
        <v>0.875</v>
      </c>
      <c r="AP112" s="23">
        <v>0</v>
      </c>
      <c r="AQ112" s="23">
        <v>-0.875</v>
      </c>
      <c r="AR112" s="23">
        <v>0</v>
      </c>
      <c r="AS112" s="23">
        <v>0</v>
      </c>
      <c r="AT112" s="23">
        <v>0</v>
      </c>
      <c r="AU112" s="23">
        <v>0</v>
      </c>
      <c r="AV112" s="23">
        <v>0</v>
      </c>
      <c r="AW112" s="23">
        <v>0</v>
      </c>
      <c r="AX112" s="23">
        <v>0</v>
      </c>
      <c r="AY112" s="23">
        <v>0</v>
      </c>
      <c r="AZ112" s="23">
        <v>0</v>
      </c>
      <c r="BA112" s="23">
        <v>0</v>
      </c>
      <c r="BB112" s="23">
        <v>0</v>
      </c>
      <c r="BC112" s="23">
        <v>0</v>
      </c>
      <c r="BD112" s="23">
        <v>-0.875</v>
      </c>
      <c r="BE112" s="23">
        <v>0</v>
      </c>
      <c r="BF112" s="23">
        <v>0</v>
      </c>
      <c r="BG112" s="23">
        <v>0</v>
      </c>
      <c r="BH112" s="23">
        <v>0</v>
      </c>
      <c r="BI112" s="23">
        <v>0</v>
      </c>
      <c r="BJ112" s="23">
        <v>-2</v>
      </c>
      <c r="BK112" s="23">
        <v>0</v>
      </c>
      <c r="BL112" s="23">
        <v>0</v>
      </c>
      <c r="BM112" s="23">
        <v>0.875</v>
      </c>
      <c r="BN112" s="23">
        <v>0</v>
      </c>
      <c r="BO112" s="23">
        <v>0</v>
      </c>
      <c r="BP112" s="23">
        <v>0</v>
      </c>
      <c r="BQ112" s="23">
        <v>0</v>
      </c>
      <c r="BR112" s="23">
        <v>0</v>
      </c>
      <c r="BS112" s="23">
        <v>0</v>
      </c>
      <c r="BT112" s="23">
        <v>0</v>
      </c>
      <c r="BU112" s="23">
        <v>0</v>
      </c>
      <c r="BV112" s="23">
        <v>0</v>
      </c>
      <c r="BW112" s="23">
        <v>0</v>
      </c>
      <c r="BX112" s="23">
        <v>0</v>
      </c>
      <c r="BY112" s="23">
        <v>0</v>
      </c>
      <c r="BZ112" s="23">
        <v>0</v>
      </c>
      <c r="CA112" s="23">
        <v>0</v>
      </c>
      <c r="CB112" s="23">
        <v>0</v>
      </c>
      <c r="CC112" s="23">
        <v>0</v>
      </c>
      <c r="CD112" s="23">
        <v>0</v>
      </c>
      <c r="CE112" s="23">
        <v>0</v>
      </c>
      <c r="CF112" s="23">
        <v>0</v>
      </c>
      <c r="CG112" s="23">
        <v>0</v>
      </c>
      <c r="CH112" s="23">
        <v>0</v>
      </c>
      <c r="CI112" s="23">
        <v>0</v>
      </c>
      <c r="CJ112" s="23">
        <v>0</v>
      </c>
      <c r="CK112" s="23">
        <v>0</v>
      </c>
      <c r="CL112" s="23">
        <v>0</v>
      </c>
      <c r="CM112" s="23">
        <v>0</v>
      </c>
      <c r="CN112" s="23">
        <v>0</v>
      </c>
      <c r="CO112" s="23">
        <v>0</v>
      </c>
      <c r="CP112" s="23">
        <v>0</v>
      </c>
      <c r="CQ112" s="23">
        <v>0</v>
      </c>
      <c r="CR112" s="23">
        <v>0</v>
      </c>
      <c r="CS112" s="23">
        <v>0</v>
      </c>
      <c r="CT112" s="23">
        <v>0</v>
      </c>
      <c r="CU112" s="23">
        <v>0</v>
      </c>
      <c r="CV112" s="23">
        <v>0</v>
      </c>
      <c r="CW112" s="23">
        <v>0</v>
      </c>
      <c r="CX112" s="23">
        <v>0</v>
      </c>
      <c r="CY112" s="23">
        <v>0</v>
      </c>
      <c r="CZ112" s="23">
        <v>0</v>
      </c>
      <c r="DA112" s="23">
        <v>0</v>
      </c>
      <c r="DB112" s="23">
        <v>0</v>
      </c>
      <c r="DC112" s="23">
        <v>0</v>
      </c>
      <c r="DD112" s="23">
        <v>0</v>
      </c>
      <c r="DE112" s="23">
        <v>0</v>
      </c>
      <c r="DF112" s="23">
        <v>0</v>
      </c>
      <c r="DG112" s="23">
        <v>0</v>
      </c>
      <c r="DH112" s="23">
        <v>0</v>
      </c>
      <c r="DI112" s="23">
        <v>-1.125</v>
      </c>
      <c r="DJ112" s="23">
        <v>0</v>
      </c>
      <c r="DK112" s="23">
        <v>0</v>
      </c>
      <c r="DL112" s="23">
        <v>0</v>
      </c>
      <c r="DM112" s="23">
        <v>0</v>
      </c>
      <c r="DN112" s="23">
        <v>0</v>
      </c>
      <c r="DO112" s="23">
        <v>0</v>
      </c>
      <c r="DP112" s="23">
        <v>0</v>
      </c>
      <c r="DQ112" s="23">
        <v>0</v>
      </c>
      <c r="DR112" s="23">
        <v>0</v>
      </c>
      <c r="DS112" s="23">
        <v>0</v>
      </c>
      <c r="DT112" s="23">
        <v>0</v>
      </c>
      <c r="DU112" s="23">
        <v>0</v>
      </c>
      <c r="DV112" s="23">
        <v>0</v>
      </c>
      <c r="DW112" s="23">
        <v>0</v>
      </c>
      <c r="DX112" s="23">
        <v>0</v>
      </c>
      <c r="DY112" s="23">
        <v>0</v>
      </c>
      <c r="DZ112" s="23">
        <v>0</v>
      </c>
      <c r="EA112" s="23">
        <v>0</v>
      </c>
      <c r="EB112" s="23">
        <v>0</v>
      </c>
      <c r="EC112" s="23">
        <v>0</v>
      </c>
      <c r="ED112" s="23">
        <v>0</v>
      </c>
      <c r="EE112" s="23">
        <v>0</v>
      </c>
      <c r="EF112" s="23">
        <v>0</v>
      </c>
      <c r="EG112" s="23">
        <v>0</v>
      </c>
      <c r="EH112" s="23">
        <v>-3.125</v>
      </c>
      <c r="EI112" s="23" cm="1">
        <f t="array" ref="EI112">VLOOKUP(A112,'Opponent List'!$A1:$P137,16,FALSE)</f>
        <v>0.33235699780872</v>
      </c>
      <c r="EJ112" s="23">
        <v>-2.79254134979256</v>
      </c>
    </row>
    <row r="113" ht="13.55" customHeight="1">
      <c r="A113" t="s" s="7">
        <v>21</v>
      </c>
      <c r="B113" s="22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0.875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3">
        <v>0</v>
      </c>
      <c r="AM113" s="23">
        <v>0</v>
      </c>
      <c r="AN113" s="23">
        <v>0</v>
      </c>
      <c r="AO113" s="23">
        <v>0</v>
      </c>
      <c r="AP113" s="23">
        <v>0</v>
      </c>
      <c r="AQ113" s="23">
        <v>0</v>
      </c>
      <c r="AR113" s="23">
        <v>0</v>
      </c>
      <c r="AS113" s="23">
        <v>0</v>
      </c>
      <c r="AT113" s="23">
        <v>0</v>
      </c>
      <c r="AU113" s="23">
        <v>0</v>
      </c>
      <c r="AV113" s="23">
        <v>0</v>
      </c>
      <c r="AW113" s="23">
        <v>0</v>
      </c>
      <c r="AX113" s="23">
        <v>0</v>
      </c>
      <c r="AY113" s="23">
        <v>0</v>
      </c>
      <c r="AZ113" s="23">
        <v>0</v>
      </c>
      <c r="BA113" s="23">
        <v>0</v>
      </c>
      <c r="BB113" s="23">
        <v>0</v>
      </c>
      <c r="BC113" s="23">
        <v>0</v>
      </c>
      <c r="BD113" s="23">
        <v>0</v>
      </c>
      <c r="BE113" s="23">
        <v>0</v>
      </c>
      <c r="BF113" s="23">
        <v>0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v>0</v>
      </c>
      <c r="BQ113" s="23">
        <v>0</v>
      </c>
      <c r="BR113" s="23">
        <v>0</v>
      </c>
      <c r="BS113" s="23">
        <v>0</v>
      </c>
      <c r="BT113" s="23">
        <v>0</v>
      </c>
      <c r="BU113" s="23">
        <v>0</v>
      </c>
      <c r="BV113" s="23">
        <v>0</v>
      </c>
      <c r="BW113" s="23">
        <v>0</v>
      </c>
      <c r="BX113" s="23">
        <v>0</v>
      </c>
      <c r="BY113" s="23">
        <v>0</v>
      </c>
      <c r="BZ113" s="23">
        <v>0</v>
      </c>
      <c r="CA113" s="23">
        <v>0</v>
      </c>
      <c r="CB113" s="23">
        <v>0</v>
      </c>
      <c r="CC113" s="23">
        <v>0</v>
      </c>
      <c r="CD113" s="23">
        <v>0</v>
      </c>
      <c r="CE113" s="23">
        <v>0</v>
      </c>
      <c r="CF113" s="23">
        <v>0</v>
      </c>
      <c r="CG113" s="23">
        <v>0</v>
      </c>
      <c r="CH113" s="23">
        <v>0</v>
      </c>
      <c r="CI113" s="23">
        <v>0</v>
      </c>
      <c r="CJ113" s="23">
        <v>0</v>
      </c>
      <c r="CK113" s="23">
        <v>0</v>
      </c>
      <c r="CL113" s="23">
        <v>0</v>
      </c>
      <c r="CM113" s="23">
        <v>0</v>
      </c>
      <c r="CN113" s="23">
        <v>0</v>
      </c>
      <c r="CO113" s="23">
        <v>0</v>
      </c>
      <c r="CP113" s="23">
        <v>0</v>
      </c>
      <c r="CQ113" s="23">
        <v>0</v>
      </c>
      <c r="CR113" s="23">
        <v>0</v>
      </c>
      <c r="CS113" s="23">
        <v>0</v>
      </c>
      <c r="CT113" s="23">
        <v>0</v>
      </c>
      <c r="CU113" s="23">
        <v>0</v>
      </c>
      <c r="CV113" s="23">
        <v>0</v>
      </c>
      <c r="CW113" s="23">
        <v>0.875</v>
      </c>
      <c r="CX113" s="23">
        <v>0</v>
      </c>
      <c r="CY113" s="23">
        <v>0</v>
      </c>
      <c r="CZ113" s="23">
        <v>0</v>
      </c>
      <c r="DA113" s="23">
        <v>0</v>
      </c>
      <c r="DB113" s="23">
        <v>0</v>
      </c>
      <c r="DC113" s="23">
        <v>0</v>
      </c>
      <c r="DD113" s="23">
        <v>0.875</v>
      </c>
      <c r="DE113" s="23">
        <v>0</v>
      </c>
      <c r="DF113" s="23">
        <v>0</v>
      </c>
      <c r="DG113" s="23">
        <v>0</v>
      </c>
      <c r="DH113" s="23">
        <v>1.125</v>
      </c>
      <c r="DI113" s="23">
        <v>0</v>
      </c>
      <c r="DJ113" s="23">
        <v>0</v>
      </c>
      <c r="DK113" s="23">
        <v>0.875</v>
      </c>
      <c r="DL113" s="23">
        <v>0</v>
      </c>
      <c r="DM113" s="23">
        <v>0</v>
      </c>
      <c r="DN113" s="23">
        <v>0</v>
      </c>
      <c r="DO113" s="23">
        <v>0</v>
      </c>
      <c r="DP113" s="23">
        <v>0</v>
      </c>
      <c r="DQ113" s="23">
        <v>0.875</v>
      </c>
      <c r="DR113" s="23">
        <v>0</v>
      </c>
      <c r="DS113" s="23">
        <v>1.125</v>
      </c>
      <c r="DT113" s="23">
        <v>0</v>
      </c>
      <c r="DU113" s="23">
        <v>0</v>
      </c>
      <c r="DV113" s="23">
        <v>0</v>
      </c>
      <c r="DW113" s="23">
        <v>0</v>
      </c>
      <c r="DX113" s="23">
        <v>0</v>
      </c>
      <c r="DY113" s="23">
        <v>0</v>
      </c>
      <c r="DZ113" s="23">
        <v>0</v>
      </c>
      <c r="EA113" s="23">
        <v>0</v>
      </c>
      <c r="EB113" s="23">
        <v>0</v>
      </c>
      <c r="EC113" s="23">
        <v>0</v>
      </c>
      <c r="ED113" s="23">
        <v>0</v>
      </c>
      <c r="EE113" s="23">
        <v>0</v>
      </c>
      <c r="EF113" s="23">
        <v>0</v>
      </c>
      <c r="EG113" s="23">
        <v>0</v>
      </c>
      <c r="EH113" s="23">
        <v>6.625</v>
      </c>
      <c r="EI113" s="23" cm="1">
        <f t="array" ref="EI113">VLOOKUP(A113,'Opponent List'!$A1:$P137,16,FALSE)</f>
        <v>-2.06598209803592</v>
      </c>
      <c r="EJ113" s="23">
        <v>4.55913673980902</v>
      </c>
    </row>
    <row r="114" ht="13.55" customHeight="1">
      <c r="A114" t="s" s="7">
        <v>98</v>
      </c>
      <c r="B114" s="22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1.125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-0.875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>
        <v>0</v>
      </c>
      <c r="AG114" s="23">
        <v>0</v>
      </c>
      <c r="AH114" s="23">
        <v>0</v>
      </c>
      <c r="AI114" s="23">
        <v>0</v>
      </c>
      <c r="AJ114" s="23">
        <v>0</v>
      </c>
      <c r="AK114" s="23">
        <v>0</v>
      </c>
      <c r="AL114" s="23">
        <v>0</v>
      </c>
      <c r="AM114" s="23">
        <v>0</v>
      </c>
      <c r="AN114" s="23">
        <v>0</v>
      </c>
      <c r="AO114" s="23">
        <v>0</v>
      </c>
      <c r="AP114" s="23">
        <v>0</v>
      </c>
      <c r="AQ114" s="23">
        <v>0</v>
      </c>
      <c r="AR114" s="23">
        <v>0</v>
      </c>
      <c r="AS114" s="23">
        <v>0</v>
      </c>
      <c r="AT114" s="23">
        <v>0</v>
      </c>
      <c r="AU114" s="23">
        <v>0</v>
      </c>
      <c r="AV114" s="23">
        <v>0</v>
      </c>
      <c r="AW114" s="23">
        <v>0</v>
      </c>
      <c r="AX114" s="23">
        <v>0</v>
      </c>
      <c r="AY114" s="23">
        <v>0</v>
      </c>
      <c r="AZ114" s="23">
        <v>0</v>
      </c>
      <c r="BA114" s="23">
        <v>0</v>
      </c>
      <c r="BB114" s="23">
        <v>0</v>
      </c>
      <c r="BC114" s="23">
        <v>0</v>
      </c>
      <c r="BD114" s="23">
        <v>0</v>
      </c>
      <c r="BE114" s="23">
        <v>0</v>
      </c>
      <c r="BF114" s="23">
        <v>1.125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v>0</v>
      </c>
      <c r="BQ114" s="23">
        <v>0</v>
      </c>
      <c r="BR114" s="23">
        <v>0</v>
      </c>
      <c r="BS114" s="23">
        <v>0</v>
      </c>
      <c r="BT114" s="23">
        <v>0</v>
      </c>
      <c r="BU114" s="23">
        <v>0</v>
      </c>
      <c r="BV114" s="23">
        <v>0</v>
      </c>
      <c r="BW114" s="23">
        <v>0</v>
      </c>
      <c r="BX114" s="23">
        <v>0</v>
      </c>
      <c r="BY114" s="23">
        <v>0</v>
      </c>
      <c r="BZ114" s="23">
        <v>0</v>
      </c>
      <c r="CA114" s="23">
        <v>0</v>
      </c>
      <c r="CB114" s="23">
        <v>0</v>
      </c>
      <c r="CC114" s="23">
        <v>0</v>
      </c>
      <c r="CD114" s="23">
        <v>0</v>
      </c>
      <c r="CE114" s="23">
        <v>0</v>
      </c>
      <c r="CF114" s="23">
        <v>0</v>
      </c>
      <c r="CG114" s="23">
        <v>0</v>
      </c>
      <c r="CH114" s="23">
        <v>0</v>
      </c>
      <c r="CI114" s="23">
        <v>0</v>
      </c>
      <c r="CJ114" s="23">
        <v>0</v>
      </c>
      <c r="CK114" s="23">
        <v>-0.875</v>
      </c>
      <c r="CL114" s="23">
        <v>0</v>
      </c>
      <c r="CM114" s="23">
        <v>0</v>
      </c>
      <c r="CN114" s="23">
        <v>0</v>
      </c>
      <c r="CO114" s="23">
        <v>0</v>
      </c>
      <c r="CP114" s="23">
        <v>0</v>
      </c>
      <c r="CQ114" s="23">
        <v>0</v>
      </c>
      <c r="CR114" s="23">
        <v>0</v>
      </c>
      <c r="CS114" s="23">
        <v>0</v>
      </c>
      <c r="CT114" s="23">
        <v>0</v>
      </c>
      <c r="CU114" s="23">
        <v>0</v>
      </c>
      <c r="CV114" s="23">
        <v>0</v>
      </c>
      <c r="CW114" s="23">
        <v>0</v>
      </c>
      <c r="CX114" s="23">
        <v>0</v>
      </c>
      <c r="CY114" s="23">
        <v>0</v>
      </c>
      <c r="CZ114" s="23">
        <v>0</v>
      </c>
      <c r="DA114" s="23">
        <v>0</v>
      </c>
      <c r="DB114" s="23">
        <v>0</v>
      </c>
      <c r="DC114" s="23">
        <v>-0.875</v>
      </c>
      <c r="DD114" s="23">
        <v>0</v>
      </c>
      <c r="DE114" s="23">
        <v>0</v>
      </c>
      <c r="DF114" s="23">
        <v>0</v>
      </c>
      <c r="DG114" s="23">
        <v>-1.125</v>
      </c>
      <c r="DH114" s="23">
        <v>0</v>
      </c>
      <c r="DI114" s="23">
        <v>0</v>
      </c>
      <c r="DJ114" s="23">
        <v>0</v>
      </c>
      <c r="DK114" s="23">
        <v>0</v>
      </c>
      <c r="DL114" s="23">
        <v>0</v>
      </c>
      <c r="DM114" s="23">
        <v>0</v>
      </c>
      <c r="DN114" s="23">
        <v>-1.125</v>
      </c>
      <c r="DO114" s="23">
        <v>0</v>
      </c>
      <c r="DP114" s="23">
        <v>0</v>
      </c>
      <c r="DQ114" s="23">
        <v>0</v>
      </c>
      <c r="DR114" s="23">
        <v>0</v>
      </c>
      <c r="DS114" s="23">
        <v>0</v>
      </c>
      <c r="DT114" s="23">
        <v>0</v>
      </c>
      <c r="DU114" s="23">
        <v>0</v>
      </c>
      <c r="DV114" s="23">
        <v>0</v>
      </c>
      <c r="DW114" s="23">
        <v>0</v>
      </c>
      <c r="DX114" s="23">
        <v>0</v>
      </c>
      <c r="DY114" s="23">
        <v>0</v>
      </c>
      <c r="DZ114" s="23">
        <v>0</v>
      </c>
      <c r="EA114" s="23">
        <v>0</v>
      </c>
      <c r="EB114" s="23">
        <v>0</v>
      </c>
      <c r="EC114" s="23">
        <v>0</v>
      </c>
      <c r="ED114" s="23">
        <v>0</v>
      </c>
      <c r="EE114" s="23">
        <v>0</v>
      </c>
      <c r="EF114" s="23">
        <v>0</v>
      </c>
      <c r="EG114" s="23">
        <v>0</v>
      </c>
      <c r="EH114" s="23">
        <v>-2.625</v>
      </c>
      <c r="EI114" s="23" cm="1">
        <f t="array" ref="EI114">VLOOKUP(A114,'Opponent List'!$A1:$P137,16,FALSE)</f>
        <v>0.477058184096375</v>
      </c>
      <c r="EJ114" s="23">
        <v>-2.14818495614045</v>
      </c>
    </row>
    <row r="115" ht="13.55" customHeight="1">
      <c r="A115" t="s" s="7">
        <v>131</v>
      </c>
      <c r="B115" s="22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-0.875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3">
        <v>0</v>
      </c>
      <c r="AM115" s="23">
        <v>0</v>
      </c>
      <c r="AN115" s="23">
        <v>0</v>
      </c>
      <c r="AO115" s="23">
        <v>0</v>
      </c>
      <c r="AP115" s="23">
        <v>0</v>
      </c>
      <c r="AQ115" s="23">
        <v>0</v>
      </c>
      <c r="AR115" s="23">
        <v>0</v>
      </c>
      <c r="AS115" s="23">
        <v>0</v>
      </c>
      <c r="AT115" s="23">
        <v>0</v>
      </c>
      <c r="AU115" s="23">
        <v>0</v>
      </c>
      <c r="AV115" s="23">
        <v>-1.125</v>
      </c>
      <c r="AW115" s="23">
        <v>0</v>
      </c>
      <c r="AX115" s="23">
        <v>0</v>
      </c>
      <c r="AY115" s="23">
        <v>0</v>
      </c>
      <c r="AZ115" s="23">
        <v>0</v>
      </c>
      <c r="BA115" s="23">
        <v>0</v>
      </c>
      <c r="BB115" s="23">
        <v>0</v>
      </c>
      <c r="BC115" s="23">
        <v>0</v>
      </c>
      <c r="BD115" s="23">
        <v>0</v>
      </c>
      <c r="BE115" s="23">
        <v>0</v>
      </c>
      <c r="BF115" s="23">
        <v>0</v>
      </c>
      <c r="BG115" s="23">
        <v>0</v>
      </c>
      <c r="BH115" s="23">
        <v>-1.125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-0.875</v>
      </c>
      <c r="BP115" s="23">
        <v>0</v>
      </c>
      <c r="BQ115" s="23">
        <v>0</v>
      </c>
      <c r="BR115" s="23">
        <v>0</v>
      </c>
      <c r="BS115" s="23">
        <v>0</v>
      </c>
      <c r="BT115" s="23">
        <v>0</v>
      </c>
      <c r="BU115" s="23">
        <v>0</v>
      </c>
      <c r="BV115" s="23">
        <v>0</v>
      </c>
      <c r="BW115" s="23">
        <v>0</v>
      </c>
      <c r="BX115" s="23">
        <v>0</v>
      </c>
      <c r="BY115" s="23">
        <v>0</v>
      </c>
      <c r="BZ115" s="23">
        <v>0</v>
      </c>
      <c r="CA115" s="23">
        <v>0</v>
      </c>
      <c r="CB115" s="23">
        <v>0</v>
      </c>
      <c r="CC115" s="23">
        <v>0</v>
      </c>
      <c r="CD115" s="23">
        <v>0</v>
      </c>
      <c r="CE115" s="23">
        <v>0</v>
      </c>
      <c r="CF115" s="23">
        <v>0</v>
      </c>
      <c r="CG115" s="23">
        <v>0</v>
      </c>
      <c r="CH115" s="23">
        <v>0</v>
      </c>
      <c r="CI115" s="23">
        <v>0</v>
      </c>
      <c r="CJ115" s="23">
        <v>0</v>
      </c>
      <c r="CK115" s="23">
        <v>0</v>
      </c>
      <c r="CL115" s="23">
        <v>0</v>
      </c>
      <c r="CM115" s="23">
        <v>0</v>
      </c>
      <c r="CN115" s="23">
        <v>0</v>
      </c>
      <c r="CO115" s="23">
        <v>0</v>
      </c>
      <c r="CP115" s="23">
        <v>0</v>
      </c>
      <c r="CQ115" s="23">
        <v>0</v>
      </c>
      <c r="CR115" s="23">
        <v>0</v>
      </c>
      <c r="CS115" s="23">
        <v>0</v>
      </c>
      <c r="CT115" s="23">
        <v>0</v>
      </c>
      <c r="CU115" s="23">
        <v>0</v>
      </c>
      <c r="CV115" s="23">
        <v>0</v>
      </c>
      <c r="CW115" s="23">
        <v>0</v>
      </c>
      <c r="CX115" s="23">
        <v>0</v>
      </c>
      <c r="CY115" s="23">
        <v>0</v>
      </c>
      <c r="CZ115" s="23">
        <v>0</v>
      </c>
      <c r="DA115" s="23">
        <v>0</v>
      </c>
      <c r="DB115" s="23">
        <v>0</v>
      </c>
      <c r="DC115" s="23">
        <v>0</v>
      </c>
      <c r="DD115" s="23">
        <v>0</v>
      </c>
      <c r="DE115" s="23">
        <v>0</v>
      </c>
      <c r="DF115" s="23">
        <v>0</v>
      </c>
      <c r="DG115" s="23">
        <v>0</v>
      </c>
      <c r="DH115" s="23">
        <v>0</v>
      </c>
      <c r="DI115" s="23">
        <v>-0.875</v>
      </c>
      <c r="DJ115" s="23">
        <v>0</v>
      </c>
      <c r="DK115" s="23">
        <v>0</v>
      </c>
      <c r="DL115" s="23">
        <v>0</v>
      </c>
      <c r="DM115" s="23">
        <v>0</v>
      </c>
      <c r="DN115" s="23">
        <v>0</v>
      </c>
      <c r="DO115" s="23">
        <v>0</v>
      </c>
      <c r="DP115" s="23">
        <v>0</v>
      </c>
      <c r="DQ115" s="23">
        <v>0</v>
      </c>
      <c r="DR115" s="23">
        <v>0</v>
      </c>
      <c r="DS115" s="23">
        <v>0</v>
      </c>
      <c r="DT115" s="23">
        <v>0</v>
      </c>
      <c r="DU115" s="23">
        <v>0</v>
      </c>
      <c r="DV115" s="23">
        <v>-0.875</v>
      </c>
      <c r="DW115" s="23">
        <v>0</v>
      </c>
      <c r="DX115" s="23">
        <v>-0.875</v>
      </c>
      <c r="DY115" s="23">
        <v>0</v>
      </c>
      <c r="DZ115" s="23">
        <v>0</v>
      </c>
      <c r="EA115" s="23">
        <v>0</v>
      </c>
      <c r="EB115" s="23">
        <v>0</v>
      </c>
      <c r="EC115" s="23">
        <v>0</v>
      </c>
      <c r="ED115" s="23">
        <v>0</v>
      </c>
      <c r="EE115" s="23">
        <v>0</v>
      </c>
      <c r="EF115" s="23">
        <v>0</v>
      </c>
      <c r="EG115" s="23">
        <v>0</v>
      </c>
      <c r="EH115" s="23">
        <v>-6.625</v>
      </c>
      <c r="EI115" s="23" cm="1">
        <f t="array" ref="EI115">VLOOKUP(A115,'Opponent List'!$A1:$P137,16,FALSE)</f>
        <v>1.41402918482656</v>
      </c>
      <c r="EJ115" s="23">
        <v>-5.2111720771302</v>
      </c>
    </row>
    <row r="116" ht="13.55" customHeight="1">
      <c r="A116" t="s" s="7">
        <v>100</v>
      </c>
      <c r="B116" s="22">
        <v>0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0</v>
      </c>
      <c r="AC116" s="23">
        <v>0</v>
      </c>
      <c r="AD116" s="23">
        <v>0</v>
      </c>
      <c r="AE116" s="23">
        <v>0</v>
      </c>
      <c r="AF116" s="23">
        <v>0</v>
      </c>
      <c r="AG116" s="23">
        <v>0</v>
      </c>
      <c r="AH116" s="23">
        <v>0</v>
      </c>
      <c r="AI116" s="23">
        <v>0</v>
      </c>
      <c r="AJ116" s="23">
        <v>0</v>
      </c>
      <c r="AK116" s="23">
        <v>0</v>
      </c>
      <c r="AL116" s="23">
        <v>0</v>
      </c>
      <c r="AM116" s="23">
        <v>0</v>
      </c>
      <c r="AN116" s="23">
        <v>0</v>
      </c>
      <c r="AO116" s="23">
        <v>0</v>
      </c>
      <c r="AP116" s="23">
        <v>0</v>
      </c>
      <c r="AQ116" s="23">
        <v>0</v>
      </c>
      <c r="AR116" s="23">
        <v>0</v>
      </c>
      <c r="AS116" s="23">
        <v>0</v>
      </c>
      <c r="AT116" s="23">
        <v>0</v>
      </c>
      <c r="AU116" s="23">
        <v>0</v>
      </c>
      <c r="AV116" s="23">
        <v>0</v>
      </c>
      <c r="AW116" s="23">
        <v>0</v>
      </c>
      <c r="AX116" s="23">
        <v>0</v>
      </c>
      <c r="AY116" s="23">
        <v>0</v>
      </c>
      <c r="AZ116" s="23">
        <v>0</v>
      </c>
      <c r="BA116" s="23">
        <v>0</v>
      </c>
      <c r="BB116" s="23">
        <v>0</v>
      </c>
      <c r="BC116" s="23">
        <v>0</v>
      </c>
      <c r="BD116" s="23">
        <v>-0.875</v>
      </c>
      <c r="BE116" s="23">
        <v>0</v>
      </c>
      <c r="BF116" s="23">
        <v>0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-0.875</v>
      </c>
      <c r="BM116" s="23">
        <v>0</v>
      </c>
      <c r="BN116" s="23">
        <v>0</v>
      </c>
      <c r="BO116" s="23">
        <v>0</v>
      </c>
      <c r="BP116" s="23">
        <v>0</v>
      </c>
      <c r="BQ116" s="23">
        <v>0</v>
      </c>
      <c r="BR116" s="23">
        <v>0</v>
      </c>
      <c r="BS116" s="23">
        <v>0</v>
      </c>
      <c r="BT116" s="23">
        <v>0</v>
      </c>
      <c r="BU116" s="23">
        <v>0</v>
      </c>
      <c r="BV116" s="23">
        <v>0</v>
      </c>
      <c r="BW116" s="23">
        <v>0</v>
      </c>
      <c r="BX116" s="23">
        <v>0</v>
      </c>
      <c r="BY116" s="23">
        <v>0</v>
      </c>
      <c r="BZ116" s="23">
        <v>0</v>
      </c>
      <c r="CA116" s="23">
        <v>0</v>
      </c>
      <c r="CB116" s="23">
        <v>0</v>
      </c>
      <c r="CC116" s="23">
        <v>0</v>
      </c>
      <c r="CD116" s="23">
        <v>0</v>
      </c>
      <c r="CE116" s="23">
        <v>0</v>
      </c>
      <c r="CF116" s="23">
        <v>0</v>
      </c>
      <c r="CG116" s="23">
        <v>0</v>
      </c>
      <c r="CH116" s="23">
        <v>0</v>
      </c>
      <c r="CI116" s="23">
        <v>0</v>
      </c>
      <c r="CJ116" s="23">
        <v>0</v>
      </c>
      <c r="CK116" s="23">
        <v>0</v>
      </c>
      <c r="CL116" s="23">
        <v>0</v>
      </c>
      <c r="CM116" s="23">
        <v>0</v>
      </c>
      <c r="CN116" s="23">
        <v>0.875</v>
      </c>
      <c r="CO116" s="23">
        <v>0</v>
      </c>
      <c r="CP116" s="23">
        <v>0</v>
      </c>
      <c r="CQ116" s="23">
        <v>1.125</v>
      </c>
      <c r="CR116" s="23">
        <v>-1.125</v>
      </c>
      <c r="CS116" s="23">
        <v>0</v>
      </c>
      <c r="CT116" s="23">
        <v>0</v>
      </c>
      <c r="CU116" s="23">
        <v>0</v>
      </c>
      <c r="CV116" s="23">
        <v>0</v>
      </c>
      <c r="CW116" s="23">
        <v>0</v>
      </c>
      <c r="CX116" s="23">
        <v>0</v>
      </c>
      <c r="CY116" s="23">
        <v>0</v>
      </c>
      <c r="CZ116" s="23">
        <v>0</v>
      </c>
      <c r="DA116" s="23">
        <v>0</v>
      </c>
      <c r="DB116" s="23">
        <v>0</v>
      </c>
      <c r="DC116" s="23">
        <v>0</v>
      </c>
      <c r="DD116" s="23">
        <v>0</v>
      </c>
      <c r="DE116" s="23">
        <v>0</v>
      </c>
      <c r="DF116" s="23">
        <v>0</v>
      </c>
      <c r="DG116" s="23">
        <v>0</v>
      </c>
      <c r="DH116" s="23">
        <v>0</v>
      </c>
      <c r="DI116" s="23">
        <v>0</v>
      </c>
      <c r="DJ116" s="23">
        <v>0</v>
      </c>
      <c r="DK116" s="23">
        <v>0</v>
      </c>
      <c r="DL116" s="23">
        <v>0</v>
      </c>
      <c r="DM116" s="23">
        <v>0</v>
      </c>
      <c r="DN116" s="23">
        <v>0</v>
      </c>
      <c r="DO116" s="23">
        <v>0</v>
      </c>
      <c r="DP116" s="23">
        <v>0</v>
      </c>
      <c r="DQ116" s="23">
        <v>0</v>
      </c>
      <c r="DR116" s="23">
        <v>0</v>
      </c>
      <c r="DS116" s="23">
        <v>0</v>
      </c>
      <c r="DT116" s="23">
        <v>0</v>
      </c>
      <c r="DU116" s="23">
        <v>0</v>
      </c>
      <c r="DV116" s="23">
        <v>0</v>
      </c>
      <c r="DW116" s="23">
        <v>0</v>
      </c>
      <c r="DX116" s="23">
        <v>0</v>
      </c>
      <c r="DY116" s="23">
        <v>0</v>
      </c>
      <c r="DZ116" s="23">
        <v>-0.875</v>
      </c>
      <c r="EA116" s="23">
        <v>0</v>
      </c>
      <c r="EB116" s="23">
        <v>0</v>
      </c>
      <c r="EC116" s="23">
        <v>0</v>
      </c>
      <c r="ED116" s="23">
        <v>0</v>
      </c>
      <c r="EE116" s="23">
        <v>0</v>
      </c>
      <c r="EF116" s="23">
        <v>-0.875</v>
      </c>
      <c r="EG116" s="23">
        <v>0</v>
      </c>
      <c r="EH116" s="23">
        <v>-2.625</v>
      </c>
      <c r="EI116" s="23" cm="1">
        <f t="array" ref="EI116">VLOOKUP(A116,'Opponent List'!$A1:$P137,16,FALSE)</f>
        <v>0.393503739807039</v>
      </c>
      <c r="EJ116" s="23">
        <v>-2.2314514587537</v>
      </c>
    </row>
    <row r="117" ht="13.55" customHeight="1">
      <c r="A117" t="s" s="7">
        <v>72</v>
      </c>
      <c r="B117" s="22">
        <v>0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  <c r="AC117" s="23">
        <v>0</v>
      </c>
      <c r="AD117" s="23">
        <v>0</v>
      </c>
      <c r="AE117" s="23">
        <v>0</v>
      </c>
      <c r="AF117" s="23">
        <v>0</v>
      </c>
      <c r="AG117" s="23">
        <v>0</v>
      </c>
      <c r="AH117" s="23">
        <v>0</v>
      </c>
      <c r="AI117" s="23">
        <v>0.875</v>
      </c>
      <c r="AJ117" s="23">
        <v>0</v>
      </c>
      <c r="AK117" s="23">
        <v>0</v>
      </c>
      <c r="AL117" s="23">
        <v>0</v>
      </c>
      <c r="AM117" s="23">
        <v>0</v>
      </c>
      <c r="AN117" s="23">
        <v>0</v>
      </c>
      <c r="AO117" s="23">
        <v>0</v>
      </c>
      <c r="AP117" s="23">
        <v>0</v>
      </c>
      <c r="AQ117" s="23">
        <v>0</v>
      </c>
      <c r="AR117" s="23">
        <v>0</v>
      </c>
      <c r="AS117" s="23">
        <v>0</v>
      </c>
      <c r="AT117" s="23">
        <v>0</v>
      </c>
      <c r="AU117" s="23">
        <v>0.875</v>
      </c>
      <c r="AV117" s="23">
        <v>0</v>
      </c>
      <c r="AW117" s="23">
        <v>0</v>
      </c>
      <c r="AX117" s="23">
        <v>0</v>
      </c>
      <c r="AY117" s="23">
        <v>0</v>
      </c>
      <c r="AZ117" s="23">
        <v>0</v>
      </c>
      <c r="BA117" s="23">
        <v>0</v>
      </c>
      <c r="BB117" s="23">
        <v>1.125</v>
      </c>
      <c r="BC117" s="23">
        <v>0</v>
      </c>
      <c r="BD117" s="23">
        <v>0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v>0</v>
      </c>
      <c r="BQ117" s="23">
        <v>0</v>
      </c>
      <c r="BR117" s="23">
        <v>0</v>
      </c>
      <c r="BS117" s="23">
        <v>0</v>
      </c>
      <c r="BT117" s="23">
        <v>0</v>
      </c>
      <c r="BU117" s="23">
        <v>0</v>
      </c>
      <c r="BV117" s="23">
        <v>0</v>
      </c>
      <c r="BW117" s="23">
        <v>0</v>
      </c>
      <c r="BX117" s="23">
        <v>0</v>
      </c>
      <c r="BY117" s="23">
        <v>0</v>
      </c>
      <c r="BZ117" s="23">
        <v>0</v>
      </c>
      <c r="CA117" s="23">
        <v>0</v>
      </c>
      <c r="CB117" s="23">
        <v>0</v>
      </c>
      <c r="CC117" s="23">
        <v>0</v>
      </c>
      <c r="CD117" s="23">
        <v>0</v>
      </c>
      <c r="CE117" s="23">
        <v>0</v>
      </c>
      <c r="CF117" s="23">
        <v>0</v>
      </c>
      <c r="CG117" s="23">
        <v>0</v>
      </c>
      <c r="CH117" s="23">
        <v>0</v>
      </c>
      <c r="CI117" s="23">
        <v>0</v>
      </c>
      <c r="CJ117" s="23">
        <v>0</v>
      </c>
      <c r="CK117" s="23">
        <v>0</v>
      </c>
      <c r="CL117" s="23">
        <v>0</v>
      </c>
      <c r="CM117" s="23">
        <v>0</v>
      </c>
      <c r="CN117" s="23">
        <v>0</v>
      </c>
      <c r="CO117" s="23">
        <v>0</v>
      </c>
      <c r="CP117" s="23">
        <v>0</v>
      </c>
      <c r="CQ117" s="23">
        <v>0</v>
      </c>
      <c r="CR117" s="23">
        <v>0</v>
      </c>
      <c r="CS117" s="23">
        <v>0</v>
      </c>
      <c r="CT117" s="23">
        <v>0</v>
      </c>
      <c r="CU117" s="23">
        <v>0</v>
      </c>
      <c r="CV117" s="23">
        <v>0</v>
      </c>
      <c r="CW117" s="23">
        <v>0</v>
      </c>
      <c r="CX117" s="23">
        <v>0</v>
      </c>
      <c r="CY117" s="23">
        <v>0</v>
      </c>
      <c r="CZ117" s="23">
        <v>0</v>
      </c>
      <c r="DA117" s="23">
        <v>0</v>
      </c>
      <c r="DB117" s="23">
        <v>0</v>
      </c>
      <c r="DC117" s="23">
        <v>0</v>
      </c>
      <c r="DD117" s="23">
        <v>0</v>
      </c>
      <c r="DE117" s="23">
        <v>0</v>
      </c>
      <c r="DF117" s="23">
        <v>0</v>
      </c>
      <c r="DG117" s="23">
        <v>-1.125</v>
      </c>
      <c r="DH117" s="23">
        <v>0</v>
      </c>
      <c r="DI117" s="23">
        <v>0</v>
      </c>
      <c r="DJ117" s="23">
        <v>0</v>
      </c>
      <c r="DK117" s="23">
        <v>0</v>
      </c>
      <c r="DL117" s="23">
        <v>0</v>
      </c>
      <c r="DM117" s="23">
        <v>0</v>
      </c>
      <c r="DN117" s="23">
        <v>0</v>
      </c>
      <c r="DO117" s="23">
        <v>0</v>
      </c>
      <c r="DP117" s="23">
        <v>0</v>
      </c>
      <c r="DQ117" s="23">
        <v>0</v>
      </c>
      <c r="DR117" s="23">
        <v>0</v>
      </c>
      <c r="DS117" s="23">
        <v>-0.875</v>
      </c>
      <c r="DT117" s="23">
        <v>0</v>
      </c>
      <c r="DU117" s="23">
        <v>0</v>
      </c>
      <c r="DV117" s="23">
        <v>0</v>
      </c>
      <c r="DW117" s="23">
        <v>0</v>
      </c>
      <c r="DX117" s="23">
        <v>1.125</v>
      </c>
      <c r="DY117" s="23">
        <v>0</v>
      </c>
      <c r="DZ117" s="23">
        <v>0</v>
      </c>
      <c r="EA117" s="23">
        <v>0</v>
      </c>
      <c r="EB117" s="23">
        <v>0</v>
      </c>
      <c r="EC117" s="23">
        <v>-0.875</v>
      </c>
      <c r="ED117" s="23">
        <v>0</v>
      </c>
      <c r="EE117" s="23">
        <v>0</v>
      </c>
      <c r="EF117" s="23">
        <v>0</v>
      </c>
      <c r="EG117" s="23">
        <v>0</v>
      </c>
      <c r="EH117" s="23">
        <v>1.125</v>
      </c>
      <c r="EI117" s="23" cm="1">
        <f t="array" ref="EI117">VLOOKUP(A117,'Opponent List'!$A1:$P137,16,FALSE)</f>
        <v>-1.23925981120572</v>
      </c>
      <c r="EJ117" s="23">
        <v>-0.11442308333701</v>
      </c>
    </row>
    <row r="118" ht="13.55" customHeight="1">
      <c r="A118" t="s" s="7">
        <v>66</v>
      </c>
      <c r="B118" s="22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0.875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3">
        <v>0</v>
      </c>
      <c r="AE118" s="23">
        <v>0</v>
      </c>
      <c r="AF118" s="23">
        <v>0</v>
      </c>
      <c r="AG118" s="23">
        <v>0</v>
      </c>
      <c r="AH118" s="23">
        <v>0</v>
      </c>
      <c r="AI118" s="23">
        <v>0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3">
        <v>0</v>
      </c>
      <c r="AS118" s="23">
        <v>0</v>
      </c>
      <c r="AT118" s="23">
        <v>0</v>
      </c>
      <c r="AU118" s="23">
        <v>0</v>
      </c>
      <c r="AV118" s="23">
        <v>0</v>
      </c>
      <c r="AW118" s="23">
        <v>0</v>
      </c>
      <c r="AX118" s="23">
        <v>0</v>
      </c>
      <c r="AY118" s="23">
        <v>0</v>
      </c>
      <c r="AZ118" s="23">
        <v>0</v>
      </c>
      <c r="BA118" s="23">
        <v>0</v>
      </c>
      <c r="BB118" s="23">
        <v>0</v>
      </c>
      <c r="BC118" s="23">
        <v>0</v>
      </c>
      <c r="BD118" s="23">
        <v>0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v>-1.125</v>
      </c>
      <c r="BQ118" s="23">
        <v>0</v>
      </c>
      <c r="BR118" s="23">
        <v>0</v>
      </c>
      <c r="BS118" s="23">
        <v>0</v>
      </c>
      <c r="BT118" s="23">
        <v>0</v>
      </c>
      <c r="BU118" s="23">
        <v>0</v>
      </c>
      <c r="BV118" s="23">
        <v>0</v>
      </c>
      <c r="BW118" s="23">
        <v>0</v>
      </c>
      <c r="BX118" s="23">
        <v>0</v>
      </c>
      <c r="BY118" s="23">
        <v>0</v>
      </c>
      <c r="BZ118" s="23">
        <v>0</v>
      </c>
      <c r="CA118" s="23">
        <v>0</v>
      </c>
      <c r="CB118" s="23">
        <v>0</v>
      </c>
      <c r="CC118" s="23">
        <v>0</v>
      </c>
      <c r="CD118" s="23">
        <v>0</v>
      </c>
      <c r="CE118" s="23">
        <v>0</v>
      </c>
      <c r="CF118" s="23">
        <v>0</v>
      </c>
      <c r="CG118" s="23">
        <v>0</v>
      </c>
      <c r="CH118" s="23">
        <v>0</v>
      </c>
      <c r="CI118" s="23">
        <v>0</v>
      </c>
      <c r="CJ118" s="23">
        <v>0</v>
      </c>
      <c r="CK118" s="23">
        <v>0</v>
      </c>
      <c r="CL118" s="23">
        <v>0</v>
      </c>
      <c r="CM118" s="23">
        <v>0</v>
      </c>
      <c r="CN118" s="23">
        <v>0</v>
      </c>
      <c r="CO118" s="23">
        <v>0</v>
      </c>
      <c r="CP118" s="23">
        <v>0</v>
      </c>
      <c r="CQ118" s="23">
        <v>0</v>
      </c>
      <c r="CR118" s="23">
        <v>-0.875</v>
      </c>
      <c r="CS118" s="23">
        <v>0</v>
      </c>
      <c r="CT118" s="23">
        <v>0</v>
      </c>
      <c r="CU118" s="23">
        <v>0</v>
      </c>
      <c r="CV118" s="23">
        <v>-0.875</v>
      </c>
      <c r="CW118" s="23">
        <v>0</v>
      </c>
      <c r="CX118" s="23">
        <v>0</v>
      </c>
      <c r="CY118" s="23">
        <v>0</v>
      </c>
      <c r="CZ118" s="23">
        <v>0</v>
      </c>
      <c r="DA118" s="23">
        <v>0</v>
      </c>
      <c r="DB118" s="23">
        <v>0</v>
      </c>
      <c r="DC118" s="23">
        <v>0</v>
      </c>
      <c r="DD118" s="23">
        <v>0</v>
      </c>
      <c r="DE118" s="23">
        <v>0</v>
      </c>
      <c r="DF118" s="23">
        <v>0</v>
      </c>
      <c r="DG118" s="23">
        <v>0</v>
      </c>
      <c r="DH118" s="23">
        <v>0</v>
      </c>
      <c r="DI118" s="23">
        <v>0</v>
      </c>
      <c r="DJ118" s="23">
        <v>1.125</v>
      </c>
      <c r="DK118" s="23">
        <v>0</v>
      </c>
      <c r="DL118" s="23">
        <v>0</v>
      </c>
      <c r="DM118" s="23">
        <v>0</v>
      </c>
      <c r="DN118" s="23">
        <v>0</v>
      </c>
      <c r="DO118" s="23">
        <v>0.875</v>
      </c>
      <c r="DP118" s="23">
        <v>0</v>
      </c>
      <c r="DQ118" s="23">
        <v>0</v>
      </c>
      <c r="DR118" s="23">
        <v>0</v>
      </c>
      <c r="DS118" s="23">
        <v>0</v>
      </c>
      <c r="DT118" s="23">
        <v>0</v>
      </c>
      <c r="DU118" s="23">
        <v>0</v>
      </c>
      <c r="DV118" s="23">
        <v>0</v>
      </c>
      <c r="DW118" s="23">
        <v>0</v>
      </c>
      <c r="DX118" s="23">
        <v>0</v>
      </c>
      <c r="DY118" s="23">
        <v>-1.125</v>
      </c>
      <c r="DZ118" s="23">
        <v>0</v>
      </c>
      <c r="EA118" s="23">
        <v>0</v>
      </c>
      <c r="EB118" s="23">
        <v>0</v>
      </c>
      <c r="EC118" s="23">
        <v>0</v>
      </c>
      <c r="ED118" s="23">
        <v>0</v>
      </c>
      <c r="EE118" s="23">
        <v>0</v>
      </c>
      <c r="EF118" s="23">
        <v>0</v>
      </c>
      <c r="EG118" s="23">
        <v>0</v>
      </c>
      <c r="EH118" s="23">
        <v>-1.125</v>
      </c>
      <c r="EI118" s="23" cm="1">
        <f t="array" ref="EI118">VLOOKUP(A118,'Opponent List'!$A1:$P137,16,FALSE)</f>
        <v>1.42020525826882</v>
      </c>
      <c r="EJ118" s="23">
        <v>0.29521010233505</v>
      </c>
    </row>
    <row r="119" ht="13.55" customHeight="1">
      <c r="A119" t="s" s="7">
        <v>130</v>
      </c>
      <c r="B119" s="22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-1.125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3">
        <v>0</v>
      </c>
      <c r="AM119" s="23">
        <v>0</v>
      </c>
      <c r="AN119" s="23">
        <v>0</v>
      </c>
      <c r="AO119" s="23">
        <v>0</v>
      </c>
      <c r="AP119" s="23">
        <v>0</v>
      </c>
      <c r="AQ119" s="23">
        <v>0</v>
      </c>
      <c r="AR119" s="23">
        <v>0</v>
      </c>
      <c r="AS119" s="23">
        <v>0</v>
      </c>
      <c r="AT119" s="23">
        <v>0</v>
      </c>
      <c r="AU119" s="23">
        <v>0</v>
      </c>
      <c r="AV119" s="23">
        <v>0</v>
      </c>
      <c r="AW119" s="23">
        <v>0</v>
      </c>
      <c r="AX119" s="23">
        <v>0</v>
      </c>
      <c r="AY119" s="23">
        <v>0</v>
      </c>
      <c r="AZ119" s="23">
        <v>0</v>
      </c>
      <c r="BA119" s="23">
        <v>0</v>
      </c>
      <c r="BB119" s="23">
        <v>0</v>
      </c>
      <c r="BC119" s="23">
        <v>0</v>
      </c>
      <c r="BD119" s="23">
        <v>0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v>0</v>
      </c>
      <c r="BQ119" s="23">
        <v>0</v>
      </c>
      <c r="BR119" s="23">
        <v>0</v>
      </c>
      <c r="BS119" s="23">
        <v>0</v>
      </c>
      <c r="BT119" s="23">
        <v>0</v>
      </c>
      <c r="BU119" s="23">
        <v>-0.875</v>
      </c>
      <c r="BV119" s="23">
        <v>0</v>
      </c>
      <c r="BW119" s="23">
        <v>0</v>
      </c>
      <c r="BX119" s="23">
        <v>0</v>
      </c>
      <c r="BY119" s="23">
        <v>0</v>
      </c>
      <c r="BZ119" s="23">
        <v>-1.125</v>
      </c>
      <c r="CA119" s="23">
        <v>0</v>
      </c>
      <c r="CB119" s="23">
        <v>0</v>
      </c>
      <c r="CC119" s="23">
        <v>0</v>
      </c>
      <c r="CD119" s="23">
        <v>0</v>
      </c>
      <c r="CE119" s="23">
        <v>0</v>
      </c>
      <c r="CF119" s="23">
        <v>1.125</v>
      </c>
      <c r="CG119" s="23">
        <v>0</v>
      </c>
      <c r="CH119" s="23">
        <v>0</v>
      </c>
      <c r="CI119" s="23">
        <v>0</v>
      </c>
      <c r="CJ119" s="23">
        <v>0</v>
      </c>
      <c r="CK119" s="23">
        <v>0</v>
      </c>
      <c r="CL119" s="23">
        <v>-1.125</v>
      </c>
      <c r="CM119" s="23">
        <v>0</v>
      </c>
      <c r="CN119" s="23">
        <v>0</v>
      </c>
      <c r="CO119" s="23">
        <v>0</v>
      </c>
      <c r="CP119" s="23">
        <v>0</v>
      </c>
      <c r="CQ119" s="23">
        <v>0</v>
      </c>
      <c r="CR119" s="23">
        <v>0</v>
      </c>
      <c r="CS119" s="23">
        <v>0</v>
      </c>
      <c r="CT119" s="23">
        <v>0</v>
      </c>
      <c r="CU119" s="23">
        <v>0</v>
      </c>
      <c r="CV119" s="23">
        <v>0</v>
      </c>
      <c r="CW119" s="23">
        <v>0</v>
      </c>
      <c r="CX119" s="23">
        <v>0</v>
      </c>
      <c r="CY119" s="23">
        <v>0</v>
      </c>
      <c r="CZ119" s="23">
        <v>0</v>
      </c>
      <c r="DA119" s="23">
        <v>0</v>
      </c>
      <c r="DB119" s="23">
        <v>0</v>
      </c>
      <c r="DC119" s="23">
        <v>0</v>
      </c>
      <c r="DD119" s="23">
        <v>0</v>
      </c>
      <c r="DE119" s="23">
        <v>0</v>
      </c>
      <c r="DF119" s="23">
        <v>0</v>
      </c>
      <c r="DG119" s="23">
        <v>0</v>
      </c>
      <c r="DH119" s="23">
        <v>0</v>
      </c>
      <c r="DI119" s="23">
        <v>0</v>
      </c>
      <c r="DJ119" s="23">
        <v>0</v>
      </c>
      <c r="DK119" s="23">
        <v>0</v>
      </c>
      <c r="DL119" s="23">
        <v>0</v>
      </c>
      <c r="DM119" s="23">
        <v>0</v>
      </c>
      <c r="DN119" s="23">
        <v>-0.875</v>
      </c>
      <c r="DO119" s="23">
        <v>0</v>
      </c>
      <c r="DP119" s="23">
        <v>0</v>
      </c>
      <c r="DQ119" s="23">
        <v>0</v>
      </c>
      <c r="DR119" s="23">
        <v>0</v>
      </c>
      <c r="DS119" s="23">
        <v>0</v>
      </c>
      <c r="DT119" s="23">
        <v>0</v>
      </c>
      <c r="DU119" s="23">
        <v>0</v>
      </c>
      <c r="DV119" s="23">
        <v>0</v>
      </c>
      <c r="DW119" s="23">
        <v>0</v>
      </c>
      <c r="DX119" s="23">
        <v>0</v>
      </c>
      <c r="DY119" s="23">
        <v>0</v>
      </c>
      <c r="DZ119" s="23">
        <v>0</v>
      </c>
      <c r="EA119" s="23">
        <v>0</v>
      </c>
      <c r="EB119" s="23">
        <v>0</v>
      </c>
      <c r="EC119" s="23">
        <v>0</v>
      </c>
      <c r="ED119" s="23">
        <v>0</v>
      </c>
      <c r="EE119" s="23">
        <v>0</v>
      </c>
      <c r="EF119" s="23">
        <v>0</v>
      </c>
      <c r="EG119" s="23">
        <v>-0.875</v>
      </c>
      <c r="EH119" s="23">
        <v>-4.875</v>
      </c>
      <c r="EI119" s="23" cm="1">
        <f t="array" ref="EI119">VLOOKUP(A119,'Opponent List'!$A1:$P137,16,FALSE)</f>
        <v>-0.157988857245304</v>
      </c>
      <c r="EJ119" s="23">
        <v>-5.03311458515405</v>
      </c>
    </row>
    <row r="120" ht="13.55" customHeight="1">
      <c r="A120" t="s" s="7">
        <v>140</v>
      </c>
      <c r="B120" s="22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-1.125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-0.875</v>
      </c>
      <c r="AB120" s="23">
        <v>0</v>
      </c>
      <c r="AC120" s="23">
        <v>0</v>
      </c>
      <c r="AD120" s="23">
        <v>0</v>
      </c>
      <c r="AE120" s="23">
        <v>0</v>
      </c>
      <c r="AF120" s="23">
        <v>0</v>
      </c>
      <c r="AG120" s="23">
        <v>0</v>
      </c>
      <c r="AH120" s="23">
        <v>0</v>
      </c>
      <c r="AI120" s="23">
        <v>0</v>
      </c>
      <c r="AJ120" s="23">
        <v>0</v>
      </c>
      <c r="AK120" s="23">
        <v>0</v>
      </c>
      <c r="AL120" s="23">
        <v>0</v>
      </c>
      <c r="AM120" s="23">
        <v>0</v>
      </c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3">
        <v>0</v>
      </c>
      <c r="AU120" s="23">
        <v>0</v>
      </c>
      <c r="AV120" s="23">
        <v>0</v>
      </c>
      <c r="AW120" s="23">
        <v>0</v>
      </c>
      <c r="AX120" s="23">
        <v>0</v>
      </c>
      <c r="AY120" s="23">
        <v>-1.125</v>
      </c>
      <c r="AZ120" s="23">
        <v>0</v>
      </c>
      <c r="BA120" s="23">
        <v>0</v>
      </c>
      <c r="BB120" s="23">
        <v>0</v>
      </c>
      <c r="BC120" s="23">
        <v>0</v>
      </c>
      <c r="BD120" s="23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v>0</v>
      </c>
      <c r="BQ120" s="23">
        <v>0</v>
      </c>
      <c r="BR120" s="23">
        <v>-0.875</v>
      </c>
      <c r="BS120" s="23">
        <v>0</v>
      </c>
      <c r="BT120" s="23">
        <v>0</v>
      </c>
      <c r="BU120" s="23">
        <v>0</v>
      </c>
      <c r="BV120" s="23">
        <v>0</v>
      </c>
      <c r="BW120" s="23">
        <v>0</v>
      </c>
      <c r="BX120" s="23">
        <v>0</v>
      </c>
      <c r="BY120" s="23">
        <v>0</v>
      </c>
      <c r="BZ120" s="23">
        <v>0</v>
      </c>
      <c r="CA120" s="23">
        <v>0</v>
      </c>
      <c r="CB120" s="23">
        <v>0</v>
      </c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3">
        <v>0</v>
      </c>
      <c r="CJ120" s="23">
        <v>0</v>
      </c>
      <c r="CK120" s="23">
        <v>0</v>
      </c>
      <c r="CL120" s="23">
        <v>0</v>
      </c>
      <c r="CM120" s="23">
        <v>0</v>
      </c>
      <c r="CN120" s="23">
        <v>-1.125</v>
      </c>
      <c r="CO120" s="23">
        <v>0</v>
      </c>
      <c r="CP120" s="23">
        <v>0</v>
      </c>
      <c r="CQ120" s="23">
        <v>0</v>
      </c>
      <c r="CR120" s="23">
        <v>0</v>
      </c>
      <c r="CS120" s="23">
        <v>0</v>
      </c>
      <c r="CT120" s="23">
        <v>0</v>
      </c>
      <c r="CU120" s="23">
        <v>0</v>
      </c>
      <c r="CV120" s="23">
        <v>0</v>
      </c>
      <c r="CW120" s="23">
        <v>-0.875</v>
      </c>
      <c r="CX120" s="23">
        <v>-1.125</v>
      </c>
      <c r="CY120" s="23">
        <v>0</v>
      </c>
      <c r="CZ120" s="23">
        <v>0</v>
      </c>
      <c r="DA120" s="23">
        <v>0</v>
      </c>
      <c r="DB120" s="23">
        <v>0</v>
      </c>
      <c r="DC120" s="23">
        <v>0</v>
      </c>
      <c r="DD120" s="23">
        <v>0</v>
      </c>
      <c r="DE120" s="23">
        <v>0</v>
      </c>
      <c r="DF120" s="23">
        <v>0</v>
      </c>
      <c r="DG120" s="23">
        <v>0</v>
      </c>
      <c r="DH120" s="23">
        <v>0</v>
      </c>
      <c r="DI120" s="23">
        <v>0</v>
      </c>
      <c r="DJ120" s="23">
        <v>0</v>
      </c>
      <c r="DK120" s="23">
        <v>0</v>
      </c>
      <c r="DL120" s="23">
        <v>0</v>
      </c>
      <c r="DM120" s="23">
        <v>0</v>
      </c>
      <c r="DN120" s="23">
        <v>0</v>
      </c>
      <c r="DO120" s="23">
        <v>0</v>
      </c>
      <c r="DP120" s="23">
        <v>0</v>
      </c>
      <c r="DQ120" s="23">
        <v>0</v>
      </c>
      <c r="DR120" s="23">
        <v>0</v>
      </c>
      <c r="DS120" s="23">
        <v>0</v>
      </c>
      <c r="DT120" s="23">
        <v>0</v>
      </c>
      <c r="DU120" s="23">
        <v>0</v>
      </c>
      <c r="DV120" s="23">
        <v>0</v>
      </c>
      <c r="DW120" s="23">
        <v>0</v>
      </c>
      <c r="DX120" s="23">
        <v>0</v>
      </c>
      <c r="DY120" s="23">
        <v>0</v>
      </c>
      <c r="DZ120" s="23">
        <v>0</v>
      </c>
      <c r="EA120" s="23">
        <v>0</v>
      </c>
      <c r="EB120" s="23">
        <v>0</v>
      </c>
      <c r="EC120" s="23">
        <v>0</v>
      </c>
      <c r="ED120" s="23">
        <v>0</v>
      </c>
      <c r="EE120" s="23">
        <v>0</v>
      </c>
      <c r="EF120" s="23">
        <v>0</v>
      </c>
      <c r="EG120" s="23">
        <v>0</v>
      </c>
      <c r="EH120" s="23">
        <v>-7.125</v>
      </c>
      <c r="EI120" s="23" cm="1">
        <f t="array" ref="EI120">VLOOKUP(A120,'Opponent List'!$A1:$P137,16,FALSE)</f>
        <v>-2.19183157380427</v>
      </c>
      <c r="EJ120" s="23">
        <v>-9.31654300434057</v>
      </c>
    </row>
    <row r="121" ht="13.55" customHeight="1">
      <c r="A121" t="s" s="7">
        <v>69</v>
      </c>
      <c r="B121" s="22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3">
        <v>0</v>
      </c>
      <c r="AM121" s="23">
        <v>0</v>
      </c>
      <c r="AN121" s="23">
        <v>0</v>
      </c>
      <c r="AO121" s="23">
        <v>0</v>
      </c>
      <c r="AP121" s="23">
        <v>0</v>
      </c>
      <c r="AQ121" s="23">
        <v>0</v>
      </c>
      <c r="AR121" s="23">
        <v>0</v>
      </c>
      <c r="AS121" s="23">
        <v>0</v>
      </c>
      <c r="AT121" s="23">
        <v>0</v>
      </c>
      <c r="AU121" s="23">
        <v>0</v>
      </c>
      <c r="AV121" s="23">
        <v>0</v>
      </c>
      <c r="AW121" s="23">
        <v>0</v>
      </c>
      <c r="AX121" s="23">
        <v>0</v>
      </c>
      <c r="AY121" s="23">
        <v>0.875</v>
      </c>
      <c r="AZ121" s="23">
        <v>0</v>
      </c>
      <c r="BA121" s="23">
        <v>0</v>
      </c>
      <c r="BB121" s="23">
        <v>0</v>
      </c>
      <c r="BC121" s="23">
        <v>0</v>
      </c>
      <c r="BD121" s="23">
        <v>0</v>
      </c>
      <c r="BE121" s="23">
        <v>0</v>
      </c>
      <c r="BF121" s="23">
        <v>0</v>
      </c>
      <c r="BG121" s="23">
        <v>0</v>
      </c>
      <c r="BH121" s="23">
        <v>-1.125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v>0</v>
      </c>
      <c r="BQ121" s="23">
        <v>0</v>
      </c>
      <c r="BR121" s="23">
        <v>0</v>
      </c>
      <c r="BS121" s="23">
        <v>0</v>
      </c>
      <c r="BT121" s="23">
        <v>0</v>
      </c>
      <c r="BU121" s="23">
        <v>0</v>
      </c>
      <c r="BV121" s="23">
        <v>0</v>
      </c>
      <c r="BW121" s="23">
        <v>-1.125</v>
      </c>
      <c r="BX121" s="23">
        <v>0</v>
      </c>
      <c r="BY121" s="23">
        <v>0</v>
      </c>
      <c r="BZ121" s="23">
        <v>0</v>
      </c>
      <c r="CA121" s="23">
        <v>0</v>
      </c>
      <c r="CB121" s="23">
        <v>0</v>
      </c>
      <c r="CC121" s="23">
        <v>0</v>
      </c>
      <c r="CD121" s="23">
        <v>0</v>
      </c>
      <c r="CE121" s="23">
        <v>0</v>
      </c>
      <c r="CF121" s="23">
        <v>0</v>
      </c>
      <c r="CG121" s="23">
        <v>0</v>
      </c>
      <c r="CH121" s="23">
        <v>0</v>
      </c>
      <c r="CI121" s="23">
        <v>0</v>
      </c>
      <c r="CJ121" s="23">
        <v>0</v>
      </c>
      <c r="CK121" s="23">
        <v>0</v>
      </c>
      <c r="CL121" s="23">
        <v>0</v>
      </c>
      <c r="CM121" s="23">
        <v>0</v>
      </c>
      <c r="CN121" s="23">
        <v>0</v>
      </c>
      <c r="CO121" s="23">
        <v>0</v>
      </c>
      <c r="CP121" s="23">
        <v>0</v>
      </c>
      <c r="CQ121" s="23">
        <v>0</v>
      </c>
      <c r="CR121" s="23">
        <v>0</v>
      </c>
      <c r="CS121" s="23">
        <v>0</v>
      </c>
      <c r="CT121" s="23">
        <v>0</v>
      </c>
      <c r="CU121" s="23">
        <v>0</v>
      </c>
      <c r="CV121" s="23">
        <v>0</v>
      </c>
      <c r="CW121" s="23">
        <v>0</v>
      </c>
      <c r="CX121" s="23">
        <v>0</v>
      </c>
      <c r="CY121" s="23">
        <v>0.875</v>
      </c>
      <c r="CZ121" s="23">
        <v>0</v>
      </c>
      <c r="DA121" s="23">
        <v>0</v>
      </c>
      <c r="DB121" s="23">
        <v>0</v>
      </c>
      <c r="DC121" s="23">
        <v>0</v>
      </c>
      <c r="DD121" s="23">
        <v>0</v>
      </c>
      <c r="DE121" s="23">
        <v>0</v>
      </c>
      <c r="DF121" s="23">
        <v>1.125</v>
      </c>
      <c r="DG121" s="23">
        <v>0</v>
      </c>
      <c r="DH121" s="23">
        <v>0</v>
      </c>
      <c r="DI121" s="23">
        <v>-0.875</v>
      </c>
      <c r="DJ121" s="23">
        <v>0</v>
      </c>
      <c r="DK121" s="23">
        <v>0</v>
      </c>
      <c r="DL121" s="23">
        <v>0</v>
      </c>
      <c r="DM121" s="23">
        <v>0</v>
      </c>
      <c r="DN121" s="23">
        <v>0</v>
      </c>
      <c r="DO121" s="23">
        <v>0</v>
      </c>
      <c r="DP121" s="23">
        <v>0</v>
      </c>
      <c r="DQ121" s="23">
        <v>0</v>
      </c>
      <c r="DR121" s="23">
        <v>-1.125</v>
      </c>
      <c r="DS121" s="23">
        <v>0</v>
      </c>
      <c r="DT121" s="23">
        <v>0</v>
      </c>
      <c r="DU121" s="23">
        <v>0</v>
      </c>
      <c r="DV121" s="23">
        <v>0</v>
      </c>
      <c r="DW121" s="23">
        <v>0</v>
      </c>
      <c r="DX121" s="23">
        <v>0</v>
      </c>
      <c r="DY121" s="23">
        <v>0</v>
      </c>
      <c r="DZ121" s="23">
        <v>0</v>
      </c>
      <c r="EA121" s="23">
        <v>0</v>
      </c>
      <c r="EB121" s="23">
        <v>0</v>
      </c>
      <c r="EC121" s="23">
        <v>0</v>
      </c>
      <c r="ED121" s="23">
        <v>0</v>
      </c>
      <c r="EE121" s="23">
        <v>0</v>
      </c>
      <c r="EF121" s="23">
        <v>0</v>
      </c>
      <c r="EG121" s="23">
        <v>0</v>
      </c>
      <c r="EH121" s="23">
        <v>-1.375</v>
      </c>
      <c r="EI121" s="23" cm="1">
        <f t="array" ref="EI121">VLOOKUP(A121,'Opponent List'!$A1:$P137,16,FALSE)</f>
        <v>1.57519670324197</v>
      </c>
      <c r="EJ121" s="23">
        <v>0.20014218519344</v>
      </c>
    </row>
    <row r="122" ht="13.55" customHeight="1">
      <c r="A122" t="s" s="7">
        <v>8</v>
      </c>
      <c r="B122" s="22">
        <v>0</v>
      </c>
      <c r="C122" s="23">
        <v>0</v>
      </c>
      <c r="D122" s="23">
        <v>0</v>
      </c>
      <c r="E122" s="23">
        <v>0</v>
      </c>
      <c r="F122" s="23">
        <v>0</v>
      </c>
      <c r="G122" s="23">
        <v>0</v>
      </c>
      <c r="H122" s="2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0</v>
      </c>
      <c r="AD122" s="23">
        <v>0</v>
      </c>
      <c r="AE122" s="23">
        <v>1.125</v>
      </c>
      <c r="AF122" s="23">
        <v>0</v>
      </c>
      <c r="AG122" s="23">
        <v>0</v>
      </c>
      <c r="AH122" s="23">
        <v>0</v>
      </c>
      <c r="AI122" s="23">
        <v>0</v>
      </c>
      <c r="AJ122" s="23">
        <v>0.875</v>
      </c>
      <c r="AK122" s="23">
        <v>0</v>
      </c>
      <c r="AL122" s="23">
        <v>0</v>
      </c>
      <c r="AM122" s="23">
        <v>0</v>
      </c>
      <c r="AN122" s="23">
        <v>0</v>
      </c>
      <c r="AO122" s="23">
        <v>0</v>
      </c>
      <c r="AP122" s="23">
        <v>0</v>
      </c>
      <c r="AQ122" s="23">
        <v>0</v>
      </c>
      <c r="AR122" s="23">
        <v>0</v>
      </c>
      <c r="AS122" s="23">
        <v>0</v>
      </c>
      <c r="AT122" s="23">
        <v>0</v>
      </c>
      <c r="AU122" s="23">
        <v>0</v>
      </c>
      <c r="AV122" s="23">
        <v>0</v>
      </c>
      <c r="AW122" s="23">
        <v>0</v>
      </c>
      <c r="AX122" s="23">
        <v>0</v>
      </c>
      <c r="AY122" s="23">
        <v>0</v>
      </c>
      <c r="AZ122" s="23">
        <v>0</v>
      </c>
      <c r="BA122" s="23">
        <v>0</v>
      </c>
      <c r="BB122" s="23">
        <v>0</v>
      </c>
      <c r="BC122" s="23">
        <v>0</v>
      </c>
      <c r="BD122" s="23">
        <v>0</v>
      </c>
      <c r="BE122" s="23">
        <v>0</v>
      </c>
      <c r="BF122" s="23">
        <v>1.125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v>0</v>
      </c>
      <c r="BQ122" s="23">
        <v>0</v>
      </c>
      <c r="BR122" s="23">
        <v>0</v>
      </c>
      <c r="BS122" s="23">
        <v>0</v>
      </c>
      <c r="BT122" s="23">
        <v>0</v>
      </c>
      <c r="BU122" s="23">
        <v>0</v>
      </c>
      <c r="BV122" s="23">
        <v>0</v>
      </c>
      <c r="BW122" s="23">
        <v>0</v>
      </c>
      <c r="BX122" s="23">
        <v>0</v>
      </c>
      <c r="BY122" s="23">
        <v>0</v>
      </c>
      <c r="BZ122" s="23">
        <v>0</v>
      </c>
      <c r="CA122" s="23">
        <v>0</v>
      </c>
      <c r="CB122" s="23">
        <v>0</v>
      </c>
      <c r="CC122" s="23">
        <v>0</v>
      </c>
      <c r="CD122" s="23">
        <v>0</v>
      </c>
      <c r="CE122" s="23">
        <v>0</v>
      </c>
      <c r="CF122" s="23">
        <v>0</v>
      </c>
      <c r="CG122" s="23">
        <v>0</v>
      </c>
      <c r="CH122" s="23">
        <v>0</v>
      </c>
      <c r="CI122" s="23">
        <v>0</v>
      </c>
      <c r="CJ122" s="23">
        <v>0</v>
      </c>
      <c r="CK122" s="23">
        <v>0</v>
      </c>
      <c r="CL122" s="23">
        <v>0</v>
      </c>
      <c r="CM122" s="23">
        <v>0</v>
      </c>
      <c r="CN122" s="23">
        <v>0</v>
      </c>
      <c r="CO122" s="23">
        <v>0</v>
      </c>
      <c r="CP122" s="23">
        <v>0</v>
      </c>
      <c r="CQ122" s="23">
        <v>0</v>
      </c>
      <c r="CR122" s="23">
        <v>0</v>
      </c>
      <c r="CS122" s="23">
        <v>0.875</v>
      </c>
      <c r="CT122" s="23">
        <v>0</v>
      </c>
      <c r="CU122" s="23">
        <v>0</v>
      </c>
      <c r="CV122" s="23">
        <v>0</v>
      </c>
      <c r="CW122" s="23">
        <v>0</v>
      </c>
      <c r="CX122" s="23">
        <v>0</v>
      </c>
      <c r="CY122" s="23">
        <v>0</v>
      </c>
      <c r="CZ122" s="23">
        <v>0</v>
      </c>
      <c r="DA122" s="23">
        <v>0</v>
      </c>
      <c r="DB122" s="23">
        <v>0</v>
      </c>
      <c r="DC122" s="23">
        <v>0</v>
      </c>
      <c r="DD122" s="23">
        <v>0</v>
      </c>
      <c r="DE122" s="23">
        <v>0</v>
      </c>
      <c r="DF122" s="23">
        <v>0</v>
      </c>
      <c r="DG122" s="23">
        <v>0</v>
      </c>
      <c r="DH122" s="23">
        <v>0</v>
      </c>
      <c r="DI122" s="23">
        <v>0</v>
      </c>
      <c r="DJ122" s="23">
        <v>0</v>
      </c>
      <c r="DK122" s="23">
        <v>0</v>
      </c>
      <c r="DL122" s="23">
        <v>0</v>
      </c>
      <c r="DM122" s="23">
        <v>0</v>
      </c>
      <c r="DN122" s="23">
        <v>0</v>
      </c>
      <c r="DO122" s="23">
        <v>0</v>
      </c>
      <c r="DP122" s="23">
        <v>0</v>
      </c>
      <c r="DQ122" s="23">
        <v>1.125</v>
      </c>
      <c r="DR122" s="23">
        <v>0</v>
      </c>
      <c r="DS122" s="23">
        <v>0</v>
      </c>
      <c r="DT122" s="23">
        <v>0</v>
      </c>
      <c r="DU122" s="23">
        <v>0</v>
      </c>
      <c r="DV122" s="23">
        <v>0</v>
      </c>
      <c r="DW122" s="23">
        <v>0</v>
      </c>
      <c r="DX122" s="23">
        <v>0</v>
      </c>
      <c r="DY122" s="23">
        <v>0</v>
      </c>
      <c r="DZ122" s="23">
        <v>0</v>
      </c>
      <c r="EA122" s="23">
        <v>1.125</v>
      </c>
      <c r="EB122" s="23">
        <v>0.875</v>
      </c>
      <c r="EC122" s="23">
        <v>0</v>
      </c>
      <c r="ED122" s="23">
        <v>0</v>
      </c>
      <c r="EE122" s="23">
        <v>0</v>
      </c>
      <c r="EF122" s="23">
        <v>0</v>
      </c>
      <c r="EG122" s="23">
        <v>0</v>
      </c>
      <c r="EH122" s="23">
        <v>7.125</v>
      </c>
      <c r="EI122" s="23" cm="1">
        <f t="array" ref="EI122">VLOOKUP(A122,'Opponent List'!$A1:$P137,16,FALSE)</f>
        <v>-1.01746903091622</v>
      </c>
      <c r="EJ122" s="23">
        <v>6.10756515153678</v>
      </c>
    </row>
    <row r="123" ht="13.55" customHeight="1">
      <c r="A123" t="s" s="7">
        <v>99</v>
      </c>
      <c r="B123" s="22">
        <v>0</v>
      </c>
      <c r="C123" s="23">
        <v>1.125</v>
      </c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23">
        <v>0</v>
      </c>
      <c r="Y123" s="23">
        <v>0</v>
      </c>
      <c r="Z123" s="23">
        <v>0</v>
      </c>
      <c r="AA123" s="23">
        <v>0</v>
      </c>
      <c r="AB123" s="23">
        <v>0</v>
      </c>
      <c r="AC123" s="23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3">
        <v>0</v>
      </c>
      <c r="AM123" s="23">
        <v>0</v>
      </c>
      <c r="AN123" s="23">
        <v>0</v>
      </c>
      <c r="AO123" s="23">
        <v>0</v>
      </c>
      <c r="AP123" s="23">
        <v>0</v>
      </c>
      <c r="AQ123" s="23">
        <v>0</v>
      </c>
      <c r="AR123" s="23">
        <v>0</v>
      </c>
      <c r="AS123" s="23">
        <v>0</v>
      </c>
      <c r="AT123" s="23">
        <v>0</v>
      </c>
      <c r="AU123" s="23">
        <v>0</v>
      </c>
      <c r="AV123" s="23">
        <v>0</v>
      </c>
      <c r="AW123" s="23">
        <v>0</v>
      </c>
      <c r="AX123" s="23">
        <v>0</v>
      </c>
      <c r="AY123" s="23">
        <v>0</v>
      </c>
      <c r="AZ123" s="23">
        <v>0</v>
      </c>
      <c r="BA123" s="23">
        <v>0</v>
      </c>
      <c r="BB123" s="23">
        <v>0</v>
      </c>
      <c r="BC123" s="23">
        <v>0</v>
      </c>
      <c r="BD123" s="23">
        <v>0</v>
      </c>
      <c r="BE123" s="23">
        <v>0</v>
      </c>
      <c r="BF123" s="23">
        <v>0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0.875</v>
      </c>
      <c r="BN123" s="23">
        <v>0</v>
      </c>
      <c r="BO123" s="23">
        <v>0</v>
      </c>
      <c r="BP123" s="23">
        <v>0</v>
      </c>
      <c r="BQ123" s="23">
        <v>0</v>
      </c>
      <c r="BR123" s="23">
        <v>0</v>
      </c>
      <c r="BS123" s="23">
        <v>0</v>
      </c>
      <c r="BT123" s="23">
        <v>0</v>
      </c>
      <c r="BU123" s="23">
        <v>0</v>
      </c>
      <c r="BV123" s="23">
        <v>0</v>
      </c>
      <c r="BW123" s="23">
        <v>0</v>
      </c>
      <c r="BX123" s="23">
        <v>0</v>
      </c>
      <c r="BY123" s="23">
        <v>0</v>
      </c>
      <c r="BZ123" s="23">
        <v>0</v>
      </c>
      <c r="CA123" s="23">
        <v>0</v>
      </c>
      <c r="CB123" s="23">
        <v>0</v>
      </c>
      <c r="CC123" s="23">
        <v>0</v>
      </c>
      <c r="CD123" s="23">
        <v>0</v>
      </c>
      <c r="CE123" s="23">
        <v>0</v>
      </c>
      <c r="CF123" s="23">
        <v>0</v>
      </c>
      <c r="CG123" s="23">
        <v>0</v>
      </c>
      <c r="CH123" s="23">
        <v>0</v>
      </c>
      <c r="CI123" s="23">
        <v>0</v>
      </c>
      <c r="CJ123" s="23">
        <v>0</v>
      </c>
      <c r="CK123" s="23">
        <v>0</v>
      </c>
      <c r="CL123" s="23">
        <v>0</v>
      </c>
      <c r="CM123" s="23">
        <v>0</v>
      </c>
      <c r="CN123" s="23">
        <v>0</v>
      </c>
      <c r="CO123" s="23">
        <v>0</v>
      </c>
      <c r="CP123" s="23">
        <v>0</v>
      </c>
      <c r="CQ123" s="23">
        <v>0</v>
      </c>
      <c r="CR123" s="23">
        <v>0</v>
      </c>
      <c r="CS123" s="23">
        <v>0</v>
      </c>
      <c r="CT123" s="23">
        <v>-1.125</v>
      </c>
      <c r="CU123" s="23">
        <v>-0.875</v>
      </c>
      <c r="CV123" s="23">
        <v>0</v>
      </c>
      <c r="CW123" s="23">
        <v>0</v>
      </c>
      <c r="CX123" s="23">
        <v>0</v>
      </c>
      <c r="CY123" s="23">
        <v>0</v>
      </c>
      <c r="CZ123" s="23">
        <v>0</v>
      </c>
      <c r="DA123" s="23">
        <v>0</v>
      </c>
      <c r="DB123" s="23">
        <v>0</v>
      </c>
      <c r="DC123" s="23">
        <v>0</v>
      </c>
      <c r="DD123" s="23">
        <v>0</v>
      </c>
      <c r="DE123" s="23">
        <v>0</v>
      </c>
      <c r="DF123" s="23">
        <v>0</v>
      </c>
      <c r="DG123" s="23">
        <v>0</v>
      </c>
      <c r="DH123" s="23">
        <v>0</v>
      </c>
      <c r="DI123" s="23">
        <v>-1.125</v>
      </c>
      <c r="DJ123" s="23">
        <v>0</v>
      </c>
      <c r="DK123" s="23">
        <v>0</v>
      </c>
      <c r="DL123" s="23">
        <v>0</v>
      </c>
      <c r="DM123" s="23">
        <v>0.875</v>
      </c>
      <c r="DN123" s="23">
        <v>0</v>
      </c>
      <c r="DO123" s="23">
        <v>0</v>
      </c>
      <c r="DP123" s="23">
        <v>0</v>
      </c>
      <c r="DQ123" s="23">
        <v>0</v>
      </c>
      <c r="DR123" s="23">
        <v>0</v>
      </c>
      <c r="DS123" s="23">
        <v>0</v>
      </c>
      <c r="DT123" s="23">
        <v>0</v>
      </c>
      <c r="DU123" s="23">
        <v>0</v>
      </c>
      <c r="DV123" s="23">
        <v>0</v>
      </c>
      <c r="DW123" s="23">
        <v>-1.125</v>
      </c>
      <c r="DX123" s="23">
        <v>0</v>
      </c>
      <c r="DY123" s="23">
        <v>0</v>
      </c>
      <c r="DZ123" s="23">
        <v>0</v>
      </c>
      <c r="EA123" s="23">
        <v>0</v>
      </c>
      <c r="EB123" s="23">
        <v>0</v>
      </c>
      <c r="EC123" s="23">
        <v>0</v>
      </c>
      <c r="ED123" s="23">
        <v>0</v>
      </c>
      <c r="EE123" s="23">
        <v>0</v>
      </c>
      <c r="EF123" s="23">
        <v>0</v>
      </c>
      <c r="EG123" s="23">
        <v>0</v>
      </c>
      <c r="EH123" s="23">
        <v>-1.375</v>
      </c>
      <c r="EI123" s="23" cm="1">
        <f t="array" ref="EI123">VLOOKUP(A123,'Opponent List'!$A1:$P137,16,FALSE)</f>
        <v>-0.802953613827244</v>
      </c>
      <c r="EJ123" s="23">
        <v>-2.17781183627959</v>
      </c>
    </row>
    <row r="124" ht="13.55" customHeight="1">
      <c r="A124" t="s" s="7">
        <v>53</v>
      </c>
      <c r="B124" s="22">
        <v>0</v>
      </c>
      <c r="C124" s="23">
        <v>0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3">
        <v>0</v>
      </c>
      <c r="Y124" s="23">
        <v>0</v>
      </c>
      <c r="Z124" s="23">
        <v>0</v>
      </c>
      <c r="AA124" s="23">
        <v>0</v>
      </c>
      <c r="AB124" s="23">
        <v>0</v>
      </c>
      <c r="AC124" s="23">
        <v>0</v>
      </c>
      <c r="AD124" s="23">
        <v>0</v>
      </c>
      <c r="AE124" s="23">
        <v>0</v>
      </c>
      <c r="AF124" s="23">
        <v>0</v>
      </c>
      <c r="AG124" s="23">
        <v>0</v>
      </c>
      <c r="AH124" s="23">
        <v>0</v>
      </c>
      <c r="AI124" s="23">
        <v>0</v>
      </c>
      <c r="AJ124" s="23">
        <v>0</v>
      </c>
      <c r="AK124" s="23">
        <v>0</v>
      </c>
      <c r="AL124" s="23">
        <v>-1.125</v>
      </c>
      <c r="AM124" s="23">
        <v>0</v>
      </c>
      <c r="AN124" s="23">
        <v>0</v>
      </c>
      <c r="AO124" s="23">
        <v>0</v>
      </c>
      <c r="AP124" s="23">
        <v>0</v>
      </c>
      <c r="AQ124" s="23">
        <v>0</v>
      </c>
      <c r="AR124" s="23">
        <v>0</v>
      </c>
      <c r="AS124" s="23">
        <v>0</v>
      </c>
      <c r="AT124" s="23">
        <v>0</v>
      </c>
      <c r="AU124" s="23">
        <v>0</v>
      </c>
      <c r="AV124" s="23">
        <v>0</v>
      </c>
      <c r="AW124" s="23">
        <v>0</v>
      </c>
      <c r="AX124" s="23">
        <v>1.125</v>
      </c>
      <c r="AY124" s="23">
        <v>0</v>
      </c>
      <c r="AZ124" s="23">
        <v>0</v>
      </c>
      <c r="BA124" s="23">
        <v>0</v>
      </c>
      <c r="BB124" s="23">
        <v>0</v>
      </c>
      <c r="BC124" s="23">
        <v>0</v>
      </c>
      <c r="BD124" s="23">
        <v>0</v>
      </c>
      <c r="BE124" s="23">
        <v>0</v>
      </c>
      <c r="BF124" s="23">
        <v>0</v>
      </c>
      <c r="BG124" s="23">
        <v>0</v>
      </c>
      <c r="BH124" s="23">
        <v>0</v>
      </c>
      <c r="BI124" s="23">
        <v>0</v>
      </c>
      <c r="BJ124" s="23">
        <v>-1.125</v>
      </c>
      <c r="BK124" s="23">
        <v>0</v>
      </c>
      <c r="BL124" s="23">
        <v>0</v>
      </c>
      <c r="BM124" s="23">
        <v>0</v>
      </c>
      <c r="BN124" s="23">
        <v>1.125</v>
      </c>
      <c r="BO124" s="23">
        <v>0</v>
      </c>
      <c r="BP124" s="23">
        <v>0</v>
      </c>
      <c r="BQ124" s="23">
        <v>0</v>
      </c>
      <c r="BR124" s="23">
        <v>0</v>
      </c>
      <c r="BS124" s="23">
        <v>0</v>
      </c>
      <c r="BT124" s="23">
        <v>0</v>
      </c>
      <c r="BU124" s="23">
        <v>0</v>
      </c>
      <c r="BV124" s="23">
        <v>0</v>
      </c>
      <c r="BW124" s="23">
        <v>0</v>
      </c>
      <c r="BX124" s="23">
        <v>1.125</v>
      </c>
      <c r="BY124" s="23">
        <v>0</v>
      </c>
      <c r="BZ124" s="23">
        <v>0</v>
      </c>
      <c r="CA124" s="23">
        <v>0</v>
      </c>
      <c r="CB124" s="23">
        <v>0</v>
      </c>
      <c r="CC124" s="23">
        <v>0</v>
      </c>
      <c r="CD124" s="23">
        <v>0</v>
      </c>
      <c r="CE124" s="23">
        <v>0</v>
      </c>
      <c r="CF124" s="23">
        <v>0</v>
      </c>
      <c r="CG124" s="23">
        <v>0</v>
      </c>
      <c r="CH124" s="23">
        <v>0</v>
      </c>
      <c r="CI124" s="23">
        <v>0</v>
      </c>
      <c r="CJ124" s="23">
        <v>0</v>
      </c>
      <c r="CK124" s="23">
        <v>0</v>
      </c>
      <c r="CL124" s="23">
        <v>0</v>
      </c>
      <c r="CM124" s="23">
        <v>0</v>
      </c>
      <c r="CN124" s="23">
        <v>0</v>
      </c>
      <c r="CO124" s="23">
        <v>0</v>
      </c>
      <c r="CP124" s="23">
        <v>0</v>
      </c>
      <c r="CQ124" s="23">
        <v>0</v>
      </c>
      <c r="CR124" s="23">
        <v>0</v>
      </c>
      <c r="CS124" s="23">
        <v>0</v>
      </c>
      <c r="CT124" s="23">
        <v>0</v>
      </c>
      <c r="CU124" s="23">
        <v>0</v>
      </c>
      <c r="CV124" s="23">
        <v>0</v>
      </c>
      <c r="CW124" s="23">
        <v>0.875</v>
      </c>
      <c r="CX124" s="23">
        <v>0</v>
      </c>
      <c r="CY124" s="23">
        <v>0</v>
      </c>
      <c r="CZ124" s="23">
        <v>0</v>
      </c>
      <c r="DA124" s="23">
        <v>0.875</v>
      </c>
      <c r="DB124" s="23">
        <v>0</v>
      </c>
      <c r="DC124" s="23">
        <v>0</v>
      </c>
      <c r="DD124" s="23">
        <v>0</v>
      </c>
      <c r="DE124" s="23">
        <v>0</v>
      </c>
      <c r="DF124" s="23">
        <v>0</v>
      </c>
      <c r="DG124" s="23">
        <v>0</v>
      </c>
      <c r="DH124" s="23">
        <v>0</v>
      </c>
      <c r="DI124" s="23">
        <v>0</v>
      </c>
      <c r="DJ124" s="23">
        <v>0</v>
      </c>
      <c r="DK124" s="23">
        <v>0</v>
      </c>
      <c r="DL124" s="23">
        <v>0</v>
      </c>
      <c r="DM124" s="23">
        <v>0</v>
      </c>
      <c r="DN124" s="23">
        <v>0</v>
      </c>
      <c r="DO124" s="23">
        <v>0</v>
      </c>
      <c r="DP124" s="23">
        <v>0</v>
      </c>
      <c r="DQ124" s="23">
        <v>0</v>
      </c>
      <c r="DR124" s="23">
        <v>0</v>
      </c>
      <c r="DS124" s="23">
        <v>0</v>
      </c>
      <c r="DT124" s="23">
        <v>0</v>
      </c>
      <c r="DU124" s="23">
        <v>0</v>
      </c>
      <c r="DV124" s="23">
        <v>0</v>
      </c>
      <c r="DW124" s="23">
        <v>0</v>
      </c>
      <c r="DX124" s="23">
        <v>0</v>
      </c>
      <c r="DY124" s="23">
        <v>0</v>
      </c>
      <c r="DZ124" s="23">
        <v>0</v>
      </c>
      <c r="EA124" s="23">
        <v>0</v>
      </c>
      <c r="EB124" s="23">
        <v>0</v>
      </c>
      <c r="EC124" s="23">
        <v>0</v>
      </c>
      <c r="ED124" s="23">
        <v>0</v>
      </c>
      <c r="EE124" s="23">
        <v>0</v>
      </c>
      <c r="EF124" s="23">
        <v>0</v>
      </c>
      <c r="EG124" s="23">
        <v>0</v>
      </c>
      <c r="EH124" s="23">
        <v>2.875</v>
      </c>
      <c r="EI124" s="23" cm="1">
        <f t="array" ref="EI124">VLOOKUP(A124,'Opponent List'!$A1:$P137,16,FALSE)</f>
        <v>-1.07301588305029</v>
      </c>
      <c r="EJ124" s="23">
        <v>1.80226153055653</v>
      </c>
    </row>
    <row r="125" ht="13.55" customHeight="1">
      <c r="A125" t="s" s="7">
        <v>132</v>
      </c>
      <c r="B125" s="22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-1.125</v>
      </c>
      <c r="Q125" s="2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3">
        <v>0</v>
      </c>
      <c r="Y125" s="23">
        <v>0</v>
      </c>
      <c r="Z125" s="23">
        <v>0</v>
      </c>
      <c r="AA125" s="23">
        <v>0</v>
      </c>
      <c r="AB125" s="23">
        <v>0</v>
      </c>
      <c r="AC125" s="23">
        <v>0</v>
      </c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3">
        <v>0</v>
      </c>
      <c r="AM125" s="23">
        <v>0</v>
      </c>
      <c r="AN125" s="23">
        <v>0</v>
      </c>
      <c r="AO125" s="23">
        <v>0</v>
      </c>
      <c r="AP125" s="23">
        <v>0</v>
      </c>
      <c r="AQ125" s="23">
        <v>0</v>
      </c>
      <c r="AR125" s="23">
        <v>0</v>
      </c>
      <c r="AS125" s="23">
        <v>-1.125</v>
      </c>
      <c r="AT125" s="23">
        <v>0</v>
      </c>
      <c r="AU125" s="23">
        <v>0</v>
      </c>
      <c r="AV125" s="23">
        <v>0</v>
      </c>
      <c r="AW125" s="23">
        <v>0</v>
      </c>
      <c r="AX125" s="23">
        <v>0</v>
      </c>
      <c r="AY125" s="23">
        <v>0</v>
      </c>
      <c r="AZ125" s="23">
        <v>-1.125</v>
      </c>
      <c r="BA125" s="23">
        <v>0</v>
      </c>
      <c r="BB125" s="23">
        <v>0</v>
      </c>
      <c r="BC125" s="23">
        <v>0</v>
      </c>
      <c r="BD125" s="23">
        <v>0</v>
      </c>
      <c r="BE125" s="23">
        <v>0</v>
      </c>
      <c r="BF125" s="23">
        <v>0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v>0</v>
      </c>
      <c r="BQ125" s="23">
        <v>0</v>
      </c>
      <c r="BR125" s="23">
        <v>0</v>
      </c>
      <c r="BS125" s="23">
        <v>0</v>
      </c>
      <c r="BT125" s="23">
        <v>0</v>
      </c>
      <c r="BU125" s="23">
        <v>-1.75</v>
      </c>
      <c r="BV125" s="23">
        <v>0</v>
      </c>
      <c r="BW125" s="23">
        <v>0</v>
      </c>
      <c r="BX125" s="23">
        <v>0</v>
      </c>
      <c r="BY125" s="23">
        <v>0</v>
      </c>
      <c r="BZ125" s="23">
        <v>0</v>
      </c>
      <c r="CA125" s="23">
        <v>0</v>
      </c>
      <c r="CB125" s="23">
        <v>0</v>
      </c>
      <c r="CC125" s="23">
        <v>0</v>
      </c>
      <c r="CD125" s="23">
        <v>0</v>
      </c>
      <c r="CE125" s="23">
        <v>0</v>
      </c>
      <c r="CF125" s="23">
        <v>0</v>
      </c>
      <c r="CG125" s="23">
        <v>0</v>
      </c>
      <c r="CH125" s="23">
        <v>0</v>
      </c>
      <c r="CI125" s="23">
        <v>0</v>
      </c>
      <c r="CJ125" s="23">
        <v>0</v>
      </c>
      <c r="CK125" s="23">
        <v>-0.875</v>
      </c>
      <c r="CL125" s="23">
        <v>0</v>
      </c>
      <c r="CM125" s="23">
        <v>0</v>
      </c>
      <c r="CN125" s="23">
        <v>0</v>
      </c>
      <c r="CO125" s="23">
        <v>0</v>
      </c>
      <c r="CP125" s="23">
        <v>0</v>
      </c>
      <c r="CQ125" s="23">
        <v>0</v>
      </c>
      <c r="CR125" s="23">
        <v>0</v>
      </c>
      <c r="CS125" s="23">
        <v>0</v>
      </c>
      <c r="CT125" s="23">
        <v>0</v>
      </c>
      <c r="CU125" s="23">
        <v>0</v>
      </c>
      <c r="CV125" s="23">
        <v>0</v>
      </c>
      <c r="CW125" s="23">
        <v>0</v>
      </c>
      <c r="CX125" s="23">
        <v>0</v>
      </c>
      <c r="CY125" s="23">
        <v>0</v>
      </c>
      <c r="CZ125" s="23">
        <v>0</v>
      </c>
      <c r="DA125" s="23">
        <v>0</v>
      </c>
      <c r="DB125" s="23">
        <v>0</v>
      </c>
      <c r="DC125" s="23">
        <v>0</v>
      </c>
      <c r="DD125" s="23">
        <v>0</v>
      </c>
      <c r="DE125" s="23">
        <v>0</v>
      </c>
      <c r="DF125" s="23">
        <v>0</v>
      </c>
      <c r="DG125" s="23">
        <v>0</v>
      </c>
      <c r="DH125" s="23">
        <v>0</v>
      </c>
      <c r="DI125" s="23">
        <v>0</v>
      </c>
      <c r="DJ125" s="23">
        <v>0</v>
      </c>
      <c r="DK125" s="23">
        <v>0</v>
      </c>
      <c r="DL125" s="23">
        <v>0</v>
      </c>
      <c r="DM125" s="23">
        <v>0</v>
      </c>
      <c r="DN125" s="23">
        <v>0</v>
      </c>
      <c r="DO125" s="23">
        <v>0</v>
      </c>
      <c r="DP125" s="23">
        <v>0</v>
      </c>
      <c r="DQ125" s="23">
        <v>0</v>
      </c>
      <c r="DR125" s="23">
        <v>0</v>
      </c>
      <c r="DS125" s="23">
        <v>0</v>
      </c>
      <c r="DT125" s="23">
        <v>0</v>
      </c>
      <c r="DU125" s="23">
        <v>0</v>
      </c>
      <c r="DV125" s="23">
        <v>0</v>
      </c>
      <c r="DW125" s="23">
        <v>0</v>
      </c>
      <c r="DX125" s="23">
        <v>0</v>
      </c>
      <c r="DY125" s="23">
        <v>0</v>
      </c>
      <c r="DZ125" s="23">
        <v>0</v>
      </c>
      <c r="EA125" s="23">
        <v>0</v>
      </c>
      <c r="EB125" s="23">
        <v>-0.875</v>
      </c>
      <c r="EC125" s="23">
        <v>0</v>
      </c>
      <c r="ED125" s="23">
        <v>0</v>
      </c>
      <c r="EE125" s="23">
        <v>0</v>
      </c>
      <c r="EF125" s="23">
        <v>0</v>
      </c>
      <c r="EG125" s="23">
        <v>0</v>
      </c>
      <c r="EH125" s="23">
        <v>-6.875</v>
      </c>
      <c r="EI125" s="23" cm="1">
        <f t="array" ref="EI125">VLOOKUP(A125,'Opponent List'!$A1:$P137,16,FALSE)</f>
        <v>1.34252321597728</v>
      </c>
      <c r="EJ125" s="23">
        <v>-5.53252093819443</v>
      </c>
    </row>
    <row r="126" ht="13.55" customHeight="1">
      <c r="A126" t="s" s="7">
        <v>15</v>
      </c>
      <c r="B126" s="22">
        <v>0</v>
      </c>
      <c r="C126" s="23">
        <v>0</v>
      </c>
      <c r="D126" s="23">
        <v>-0.875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1.125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>
        <v>0</v>
      </c>
      <c r="AG126" s="23">
        <v>0</v>
      </c>
      <c r="AH126" s="23">
        <v>0</v>
      </c>
      <c r="AI126" s="23">
        <v>0</v>
      </c>
      <c r="AJ126" s="23">
        <v>0</v>
      </c>
      <c r="AK126" s="23">
        <v>0</v>
      </c>
      <c r="AL126" s="23">
        <v>0</v>
      </c>
      <c r="AM126" s="23">
        <v>0</v>
      </c>
      <c r="AN126" s="23">
        <v>0</v>
      </c>
      <c r="AO126" s="23">
        <v>0</v>
      </c>
      <c r="AP126" s="23">
        <v>0</v>
      </c>
      <c r="AQ126" s="23">
        <v>0</v>
      </c>
      <c r="AR126" s="23">
        <v>0</v>
      </c>
      <c r="AS126" s="23">
        <v>0</v>
      </c>
      <c r="AT126" s="23">
        <v>0</v>
      </c>
      <c r="AU126" s="23">
        <v>0</v>
      </c>
      <c r="AV126" s="23">
        <v>0</v>
      </c>
      <c r="AW126" s="23">
        <v>0</v>
      </c>
      <c r="AX126" s="23">
        <v>0</v>
      </c>
      <c r="AY126" s="23">
        <v>0</v>
      </c>
      <c r="AZ126" s="23">
        <v>0</v>
      </c>
      <c r="BA126" s="23">
        <v>0</v>
      </c>
      <c r="BB126" s="23">
        <v>0</v>
      </c>
      <c r="BC126" s="23">
        <v>0</v>
      </c>
      <c r="BD126" s="23">
        <v>0</v>
      </c>
      <c r="BE126" s="23">
        <v>0</v>
      </c>
      <c r="BF126" s="23">
        <v>0</v>
      </c>
      <c r="BG126" s="23">
        <v>0</v>
      </c>
      <c r="BH126" s="23">
        <v>1.125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v>0</v>
      </c>
      <c r="BQ126" s="23">
        <v>0</v>
      </c>
      <c r="BR126" s="23">
        <v>0</v>
      </c>
      <c r="BS126" s="23">
        <v>1.125</v>
      </c>
      <c r="BT126" s="23">
        <v>0</v>
      </c>
      <c r="BU126" s="23">
        <v>0</v>
      </c>
      <c r="BV126" s="23">
        <v>0</v>
      </c>
      <c r="BW126" s="23">
        <v>0</v>
      </c>
      <c r="BX126" s="23">
        <v>0</v>
      </c>
      <c r="BY126" s="23">
        <v>0</v>
      </c>
      <c r="BZ126" s="23">
        <v>0</v>
      </c>
      <c r="CA126" s="23">
        <v>0</v>
      </c>
      <c r="CB126" s="23">
        <v>0</v>
      </c>
      <c r="CC126" s="23">
        <v>0</v>
      </c>
      <c r="CD126" s="23">
        <v>0</v>
      </c>
      <c r="CE126" s="23">
        <v>0</v>
      </c>
      <c r="CF126" s="23">
        <v>0</v>
      </c>
      <c r="CG126" s="23">
        <v>0</v>
      </c>
      <c r="CH126" s="23">
        <v>0</v>
      </c>
      <c r="CI126" s="23">
        <v>0</v>
      </c>
      <c r="CJ126" s="23">
        <v>0</v>
      </c>
      <c r="CK126" s="23">
        <v>0</v>
      </c>
      <c r="CL126" s="23">
        <v>0</v>
      </c>
      <c r="CM126" s="23">
        <v>0</v>
      </c>
      <c r="CN126" s="23">
        <v>0</v>
      </c>
      <c r="CO126" s="23">
        <v>0</v>
      </c>
      <c r="CP126" s="23">
        <v>0</v>
      </c>
      <c r="CQ126" s="23">
        <v>0</v>
      </c>
      <c r="CR126" s="23">
        <v>0</v>
      </c>
      <c r="CS126" s="23">
        <v>0</v>
      </c>
      <c r="CT126" s="23">
        <v>0</v>
      </c>
      <c r="CU126" s="23">
        <v>0</v>
      </c>
      <c r="CV126" s="23">
        <v>1.125</v>
      </c>
      <c r="CW126" s="23">
        <v>0</v>
      </c>
      <c r="CX126" s="23">
        <v>0</v>
      </c>
      <c r="CY126" s="23">
        <v>0</v>
      </c>
      <c r="CZ126" s="23">
        <v>0</v>
      </c>
      <c r="DA126" s="23">
        <v>0</v>
      </c>
      <c r="DB126" s="23">
        <v>0</v>
      </c>
      <c r="DC126" s="23">
        <v>0</v>
      </c>
      <c r="DD126" s="23">
        <v>0</v>
      </c>
      <c r="DE126" s="23">
        <v>0</v>
      </c>
      <c r="DF126" s="23">
        <v>0</v>
      </c>
      <c r="DG126" s="23">
        <v>0</v>
      </c>
      <c r="DH126" s="23">
        <v>0</v>
      </c>
      <c r="DI126" s="23">
        <v>0</v>
      </c>
      <c r="DJ126" s="23">
        <v>0</v>
      </c>
      <c r="DK126" s="23">
        <v>0.875</v>
      </c>
      <c r="DL126" s="23">
        <v>0</v>
      </c>
      <c r="DM126" s="23">
        <v>0</v>
      </c>
      <c r="DN126" s="23">
        <v>0</v>
      </c>
      <c r="DO126" s="23">
        <v>0</v>
      </c>
      <c r="DP126" s="23">
        <v>0</v>
      </c>
      <c r="DQ126" s="23">
        <v>0</v>
      </c>
      <c r="DR126" s="23">
        <v>0</v>
      </c>
      <c r="DS126" s="23">
        <v>0</v>
      </c>
      <c r="DT126" s="23">
        <v>0</v>
      </c>
      <c r="DU126" s="23">
        <v>0</v>
      </c>
      <c r="DV126" s="23">
        <v>0</v>
      </c>
      <c r="DW126" s="23">
        <v>0</v>
      </c>
      <c r="DX126" s="23">
        <v>0</v>
      </c>
      <c r="DY126" s="23">
        <v>0</v>
      </c>
      <c r="DZ126" s="23">
        <v>0</v>
      </c>
      <c r="EA126" s="23">
        <v>0</v>
      </c>
      <c r="EB126" s="23">
        <v>0</v>
      </c>
      <c r="EC126" s="23">
        <v>0</v>
      </c>
      <c r="ED126" s="23">
        <v>0</v>
      </c>
      <c r="EE126" s="23">
        <v>1.125</v>
      </c>
      <c r="EF126" s="23">
        <v>0</v>
      </c>
      <c r="EG126" s="23">
        <v>0</v>
      </c>
      <c r="EH126" s="23">
        <v>5.625</v>
      </c>
      <c r="EI126" s="23" cm="1">
        <f t="array" ref="EI126">VLOOKUP(A126,'Opponent List'!$A1:$P137,16,FALSE)</f>
        <v>-0.159432204226759</v>
      </c>
      <c r="EJ126" s="23">
        <v>5.46568762547505</v>
      </c>
    </row>
    <row r="127" ht="13.55" customHeight="1">
      <c r="A127" t="s" s="7">
        <v>30</v>
      </c>
      <c r="B127" s="22">
        <v>0</v>
      </c>
      <c r="C127" s="23">
        <v>0</v>
      </c>
      <c r="D127" s="23">
        <v>0</v>
      </c>
      <c r="E127" s="23">
        <v>0.875</v>
      </c>
      <c r="F127" s="23">
        <v>0</v>
      </c>
      <c r="G127" s="23">
        <v>-0.875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1.125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3">
        <v>0</v>
      </c>
      <c r="AM127" s="23">
        <v>0</v>
      </c>
      <c r="AN127" s="23">
        <v>0</v>
      </c>
      <c r="AO127" s="23">
        <v>0</v>
      </c>
      <c r="AP127" s="23">
        <v>0</v>
      </c>
      <c r="AQ127" s="23">
        <v>0</v>
      </c>
      <c r="AR127" s="23">
        <v>0</v>
      </c>
      <c r="AS127" s="23">
        <v>0</v>
      </c>
      <c r="AT127" s="23">
        <v>0</v>
      </c>
      <c r="AU127" s="23">
        <v>0</v>
      </c>
      <c r="AV127" s="23">
        <v>0</v>
      </c>
      <c r="AW127" s="23">
        <v>0</v>
      </c>
      <c r="AX127" s="23">
        <v>0</v>
      </c>
      <c r="AY127" s="23">
        <v>0</v>
      </c>
      <c r="AZ127" s="23">
        <v>0</v>
      </c>
      <c r="BA127" s="23">
        <v>0</v>
      </c>
      <c r="BB127" s="23">
        <v>0</v>
      </c>
      <c r="BC127" s="23">
        <v>0</v>
      </c>
      <c r="BD127" s="23">
        <v>0.875</v>
      </c>
      <c r="BE127" s="23">
        <v>0</v>
      </c>
      <c r="BF127" s="23">
        <v>0</v>
      </c>
      <c r="BG127" s="23">
        <v>1.125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v>0</v>
      </c>
      <c r="BQ127" s="23">
        <v>0</v>
      </c>
      <c r="BR127" s="23">
        <v>0</v>
      </c>
      <c r="BS127" s="23">
        <v>0</v>
      </c>
      <c r="BT127" s="23">
        <v>0</v>
      </c>
      <c r="BU127" s="23">
        <v>0</v>
      </c>
      <c r="BV127" s="23">
        <v>0</v>
      </c>
      <c r="BW127" s="23">
        <v>0</v>
      </c>
      <c r="BX127" s="23">
        <v>0</v>
      </c>
      <c r="BY127" s="23">
        <v>0</v>
      </c>
      <c r="BZ127" s="23">
        <v>0</v>
      </c>
      <c r="CA127" s="23">
        <v>0</v>
      </c>
      <c r="CB127" s="23">
        <v>0</v>
      </c>
      <c r="CC127" s="23">
        <v>0</v>
      </c>
      <c r="CD127" s="23">
        <v>0</v>
      </c>
      <c r="CE127" s="23">
        <v>0</v>
      </c>
      <c r="CF127" s="23">
        <v>0</v>
      </c>
      <c r="CG127" s="23">
        <v>0</v>
      </c>
      <c r="CH127" s="23">
        <v>0</v>
      </c>
      <c r="CI127" s="23">
        <v>0</v>
      </c>
      <c r="CJ127" s="23">
        <v>0</v>
      </c>
      <c r="CK127" s="23">
        <v>0</v>
      </c>
      <c r="CL127" s="23">
        <v>0</v>
      </c>
      <c r="CM127" s="23">
        <v>0</v>
      </c>
      <c r="CN127" s="23">
        <v>0</v>
      </c>
      <c r="CO127" s="23">
        <v>1.125</v>
      </c>
      <c r="CP127" s="23">
        <v>0</v>
      </c>
      <c r="CQ127" s="23">
        <v>0</v>
      </c>
      <c r="CR127" s="23">
        <v>0</v>
      </c>
      <c r="CS127" s="23">
        <v>0</v>
      </c>
      <c r="CT127" s="23">
        <v>0</v>
      </c>
      <c r="CU127" s="23">
        <v>0</v>
      </c>
      <c r="CV127" s="23">
        <v>0</v>
      </c>
      <c r="CW127" s="23">
        <v>0</v>
      </c>
      <c r="CX127" s="23">
        <v>0</v>
      </c>
      <c r="CY127" s="23">
        <v>0</v>
      </c>
      <c r="CZ127" s="23">
        <v>0</v>
      </c>
      <c r="DA127" s="23">
        <v>0</v>
      </c>
      <c r="DB127" s="23">
        <v>0</v>
      </c>
      <c r="DC127" s="23">
        <v>0</v>
      </c>
      <c r="DD127" s="23">
        <v>0</v>
      </c>
      <c r="DE127" s="23">
        <v>0</v>
      </c>
      <c r="DF127" s="23">
        <v>0</v>
      </c>
      <c r="DG127" s="23">
        <v>0</v>
      </c>
      <c r="DH127" s="23">
        <v>0</v>
      </c>
      <c r="DI127" s="23">
        <v>0</v>
      </c>
      <c r="DJ127" s="23">
        <v>0</v>
      </c>
      <c r="DK127" s="23">
        <v>0</v>
      </c>
      <c r="DL127" s="23">
        <v>0</v>
      </c>
      <c r="DM127" s="23">
        <v>0</v>
      </c>
      <c r="DN127" s="23">
        <v>0</v>
      </c>
      <c r="DO127" s="23">
        <v>0</v>
      </c>
      <c r="DP127" s="23">
        <v>0</v>
      </c>
      <c r="DQ127" s="23">
        <v>0</v>
      </c>
      <c r="DR127" s="23">
        <v>0</v>
      </c>
      <c r="DS127" s="23">
        <v>1.125</v>
      </c>
      <c r="DT127" s="23">
        <v>0</v>
      </c>
      <c r="DU127" s="23">
        <v>0</v>
      </c>
      <c r="DV127" s="23">
        <v>0</v>
      </c>
      <c r="DW127" s="23">
        <v>0</v>
      </c>
      <c r="DX127" s="23">
        <v>0</v>
      </c>
      <c r="DY127" s="23">
        <v>0</v>
      </c>
      <c r="DZ127" s="23">
        <v>0</v>
      </c>
      <c r="EA127" s="23">
        <v>0</v>
      </c>
      <c r="EB127" s="23">
        <v>0</v>
      </c>
      <c r="EC127" s="23">
        <v>0</v>
      </c>
      <c r="ED127" s="23">
        <v>0</v>
      </c>
      <c r="EE127" s="23">
        <v>0</v>
      </c>
      <c r="EF127" s="23">
        <v>0</v>
      </c>
      <c r="EG127" s="23">
        <v>0</v>
      </c>
      <c r="EH127" s="23">
        <v>5.375</v>
      </c>
      <c r="EI127" s="23" cm="1">
        <f t="array" ref="EI127">VLOOKUP(A127,'Opponent List'!$A1:$P137,16,FALSE)</f>
        <v>-1.67551613988233</v>
      </c>
      <c r="EJ127" s="23">
        <v>3.69943647894699</v>
      </c>
    </row>
    <row r="128" ht="13.55" customHeight="1">
      <c r="A128" t="s" s="7">
        <v>82</v>
      </c>
      <c r="B128" s="22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>
        <v>0</v>
      </c>
      <c r="AG128" s="23">
        <v>0</v>
      </c>
      <c r="AH128" s="23">
        <v>0</v>
      </c>
      <c r="AI128" s="23">
        <v>0</v>
      </c>
      <c r="AJ128" s="23">
        <v>0</v>
      </c>
      <c r="AK128" s="23">
        <v>0</v>
      </c>
      <c r="AL128" s="23">
        <v>0</v>
      </c>
      <c r="AM128" s="23">
        <v>0</v>
      </c>
      <c r="AN128" s="23">
        <v>0</v>
      </c>
      <c r="AO128" s="23">
        <v>0</v>
      </c>
      <c r="AP128" s="23">
        <v>0</v>
      </c>
      <c r="AQ128" s="23">
        <v>0</v>
      </c>
      <c r="AR128" s="23">
        <v>0</v>
      </c>
      <c r="AS128" s="23">
        <v>0</v>
      </c>
      <c r="AT128" s="23">
        <v>0</v>
      </c>
      <c r="AU128" s="23">
        <v>0</v>
      </c>
      <c r="AV128" s="23">
        <v>0</v>
      </c>
      <c r="AW128" s="23">
        <v>0</v>
      </c>
      <c r="AX128" s="23">
        <v>0</v>
      </c>
      <c r="AY128" s="23">
        <v>0</v>
      </c>
      <c r="AZ128" s="23">
        <v>0</v>
      </c>
      <c r="BA128" s="23">
        <v>-2.25</v>
      </c>
      <c r="BB128" s="23">
        <v>0</v>
      </c>
      <c r="BC128" s="23">
        <v>0</v>
      </c>
      <c r="BD128" s="23">
        <v>0</v>
      </c>
      <c r="BE128" s="23">
        <v>0</v>
      </c>
      <c r="BF128" s="23">
        <v>0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v>0</v>
      </c>
      <c r="BQ128" s="23">
        <v>0</v>
      </c>
      <c r="BR128" s="23">
        <v>0</v>
      </c>
      <c r="BS128" s="23">
        <v>0.875</v>
      </c>
      <c r="BT128" s="23">
        <v>0</v>
      </c>
      <c r="BU128" s="23">
        <v>0</v>
      </c>
      <c r="BV128" s="23">
        <v>0</v>
      </c>
      <c r="BW128" s="23">
        <v>0</v>
      </c>
      <c r="BX128" s="23">
        <v>0</v>
      </c>
      <c r="BY128" s="23">
        <v>0</v>
      </c>
      <c r="BZ128" s="23">
        <v>0</v>
      </c>
      <c r="CA128" s="23">
        <v>0</v>
      </c>
      <c r="CB128" s="23">
        <v>0</v>
      </c>
      <c r="CC128" s="23">
        <v>0</v>
      </c>
      <c r="CD128" s="23">
        <v>0</v>
      </c>
      <c r="CE128" s="23">
        <v>0</v>
      </c>
      <c r="CF128" s="23">
        <v>0</v>
      </c>
      <c r="CG128" s="23">
        <v>0</v>
      </c>
      <c r="CH128" s="23">
        <v>0</v>
      </c>
      <c r="CI128" s="23">
        <v>0</v>
      </c>
      <c r="CJ128" s="23">
        <v>0</v>
      </c>
      <c r="CK128" s="23">
        <v>0</v>
      </c>
      <c r="CL128" s="23">
        <v>0</v>
      </c>
      <c r="CM128" s="23">
        <v>0</v>
      </c>
      <c r="CN128" s="23">
        <v>0</v>
      </c>
      <c r="CO128" s="23">
        <v>0</v>
      </c>
      <c r="CP128" s="23">
        <v>0</v>
      </c>
      <c r="CQ128" s="23">
        <v>0</v>
      </c>
      <c r="CR128" s="23">
        <v>0</v>
      </c>
      <c r="CS128" s="23">
        <v>0</v>
      </c>
      <c r="CT128" s="23">
        <v>0</v>
      </c>
      <c r="CU128" s="23">
        <v>0</v>
      </c>
      <c r="CV128" s="23">
        <v>0.875</v>
      </c>
      <c r="CW128" s="23">
        <v>0</v>
      </c>
      <c r="CX128" s="23">
        <v>0</v>
      </c>
      <c r="CY128" s="23">
        <v>0</v>
      </c>
      <c r="CZ128" s="23">
        <v>0</v>
      </c>
      <c r="DA128" s="23">
        <v>0</v>
      </c>
      <c r="DB128" s="23">
        <v>-0.875</v>
      </c>
      <c r="DC128" s="23">
        <v>0</v>
      </c>
      <c r="DD128" s="23">
        <v>0</v>
      </c>
      <c r="DE128" s="23">
        <v>0</v>
      </c>
      <c r="DF128" s="23">
        <v>0</v>
      </c>
      <c r="DG128" s="23">
        <v>0</v>
      </c>
      <c r="DH128" s="23">
        <v>0</v>
      </c>
      <c r="DI128" s="23">
        <v>0</v>
      </c>
      <c r="DJ128" s="23">
        <v>0</v>
      </c>
      <c r="DK128" s="23">
        <v>0.875</v>
      </c>
      <c r="DL128" s="23">
        <v>0</v>
      </c>
      <c r="DM128" s="23">
        <v>-1.125</v>
      </c>
      <c r="DN128" s="23">
        <v>0</v>
      </c>
      <c r="DO128" s="23">
        <v>0</v>
      </c>
      <c r="DP128" s="23">
        <v>0</v>
      </c>
      <c r="DQ128" s="23">
        <v>0</v>
      </c>
      <c r="DR128" s="23">
        <v>0</v>
      </c>
      <c r="DS128" s="23">
        <v>0</v>
      </c>
      <c r="DT128" s="23">
        <v>0</v>
      </c>
      <c r="DU128" s="23">
        <v>0</v>
      </c>
      <c r="DV128" s="23">
        <v>0</v>
      </c>
      <c r="DW128" s="23">
        <v>0</v>
      </c>
      <c r="DX128" s="23">
        <v>0</v>
      </c>
      <c r="DY128" s="23">
        <v>0</v>
      </c>
      <c r="DZ128" s="23">
        <v>0</v>
      </c>
      <c r="EA128" s="23">
        <v>0</v>
      </c>
      <c r="EB128" s="23">
        <v>0</v>
      </c>
      <c r="EC128" s="23">
        <v>0</v>
      </c>
      <c r="ED128" s="23">
        <v>0</v>
      </c>
      <c r="EE128" s="23">
        <v>0</v>
      </c>
      <c r="EF128" s="23">
        <v>0</v>
      </c>
      <c r="EG128" s="23">
        <v>0</v>
      </c>
      <c r="EH128" s="23">
        <v>-1.625</v>
      </c>
      <c r="EI128" s="23" cm="1">
        <f t="array" ref="EI128">VLOOKUP(A128,'Opponent List'!$A1:$P137,16,FALSE)</f>
        <v>0.611956730990703</v>
      </c>
      <c r="EJ128" s="23">
        <v>-1.01281078608949</v>
      </c>
    </row>
    <row r="129" ht="13.55" customHeight="1">
      <c r="A129" t="s" s="7">
        <v>40</v>
      </c>
      <c r="B129" s="22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-0.875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3">
        <v>0</v>
      </c>
      <c r="AM129" s="23">
        <v>0</v>
      </c>
      <c r="AN129" s="23">
        <v>0</v>
      </c>
      <c r="AO129" s="23">
        <v>0</v>
      </c>
      <c r="AP129" s="23">
        <v>0</v>
      </c>
      <c r="AQ129" s="23">
        <v>0</v>
      </c>
      <c r="AR129" s="23">
        <v>0</v>
      </c>
      <c r="AS129" s="23">
        <v>0</v>
      </c>
      <c r="AT129" s="23">
        <v>0</v>
      </c>
      <c r="AU129" s="23">
        <v>0</v>
      </c>
      <c r="AV129" s="23">
        <v>0</v>
      </c>
      <c r="AW129" s="23">
        <v>0</v>
      </c>
      <c r="AX129" s="23">
        <v>0</v>
      </c>
      <c r="AY129" s="23">
        <v>0</v>
      </c>
      <c r="AZ129" s="23">
        <v>0</v>
      </c>
      <c r="BA129" s="23">
        <v>0</v>
      </c>
      <c r="BB129" s="23">
        <v>0</v>
      </c>
      <c r="BC129" s="23">
        <v>0</v>
      </c>
      <c r="BD129" s="23">
        <v>0</v>
      </c>
      <c r="BE129" s="23">
        <v>0</v>
      </c>
      <c r="BF129" s="23">
        <v>0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1.125</v>
      </c>
      <c r="BP129" s="23">
        <v>0</v>
      </c>
      <c r="BQ129" s="23">
        <v>0</v>
      </c>
      <c r="BR129" s="23">
        <v>0</v>
      </c>
      <c r="BS129" s="23">
        <v>0</v>
      </c>
      <c r="BT129" s="23">
        <v>0</v>
      </c>
      <c r="BU129" s="23">
        <v>0.875</v>
      </c>
      <c r="BV129" s="23">
        <v>0</v>
      </c>
      <c r="BW129" s="23">
        <v>0</v>
      </c>
      <c r="BX129" s="23">
        <v>0</v>
      </c>
      <c r="BY129" s="23">
        <v>0</v>
      </c>
      <c r="BZ129" s="23">
        <v>0</v>
      </c>
      <c r="CA129" s="23">
        <v>0</v>
      </c>
      <c r="CB129" s="23">
        <v>0</v>
      </c>
      <c r="CC129" s="23">
        <v>0</v>
      </c>
      <c r="CD129" s="23">
        <v>0</v>
      </c>
      <c r="CE129" s="23">
        <v>0</v>
      </c>
      <c r="CF129" s="23">
        <v>0</v>
      </c>
      <c r="CG129" s="23">
        <v>0</v>
      </c>
      <c r="CH129" s="23">
        <v>-0.875</v>
      </c>
      <c r="CI129" s="23">
        <v>0</v>
      </c>
      <c r="CJ129" s="23">
        <v>0</v>
      </c>
      <c r="CK129" s="23">
        <v>0</v>
      </c>
      <c r="CL129" s="23">
        <v>0</v>
      </c>
      <c r="CM129" s="23">
        <v>0</v>
      </c>
      <c r="CN129" s="23">
        <v>0</v>
      </c>
      <c r="CO129" s="23">
        <v>0</v>
      </c>
      <c r="CP129" s="23">
        <v>0</v>
      </c>
      <c r="CQ129" s="23">
        <v>0</v>
      </c>
      <c r="CR129" s="23">
        <v>0</v>
      </c>
      <c r="CS129" s="23">
        <v>0</v>
      </c>
      <c r="CT129" s="23">
        <v>-0.875</v>
      </c>
      <c r="CU129" s="23">
        <v>0</v>
      </c>
      <c r="CV129" s="23">
        <v>0.875</v>
      </c>
      <c r="CW129" s="23">
        <v>0</v>
      </c>
      <c r="CX129" s="23">
        <v>0</v>
      </c>
      <c r="CY129" s="23">
        <v>0</v>
      </c>
      <c r="CZ129" s="23">
        <v>0</v>
      </c>
      <c r="DA129" s="23">
        <v>0</v>
      </c>
      <c r="DB129" s="23">
        <v>0</v>
      </c>
      <c r="DC129" s="23">
        <v>0</v>
      </c>
      <c r="DD129" s="23">
        <v>0</v>
      </c>
      <c r="DE129" s="23">
        <v>0</v>
      </c>
      <c r="DF129" s="23">
        <v>0</v>
      </c>
      <c r="DG129" s="23">
        <v>0</v>
      </c>
      <c r="DH129" s="23">
        <v>0</v>
      </c>
      <c r="DI129" s="23">
        <v>0</v>
      </c>
      <c r="DJ129" s="23">
        <v>0</v>
      </c>
      <c r="DK129" s="23">
        <v>0</v>
      </c>
      <c r="DL129" s="23">
        <v>0</v>
      </c>
      <c r="DM129" s="23">
        <v>0</v>
      </c>
      <c r="DN129" s="23">
        <v>1.125</v>
      </c>
      <c r="DO129" s="23">
        <v>0</v>
      </c>
      <c r="DP129" s="23">
        <v>0</v>
      </c>
      <c r="DQ129" s="23">
        <v>0</v>
      </c>
      <c r="DR129" s="23">
        <v>0</v>
      </c>
      <c r="DS129" s="23">
        <v>0</v>
      </c>
      <c r="DT129" s="23">
        <v>0</v>
      </c>
      <c r="DU129" s="23">
        <v>0</v>
      </c>
      <c r="DV129" s="23">
        <v>0</v>
      </c>
      <c r="DW129" s="23">
        <v>0</v>
      </c>
      <c r="DX129" s="23">
        <v>0</v>
      </c>
      <c r="DY129" s="23">
        <v>0</v>
      </c>
      <c r="DZ129" s="23">
        <v>0</v>
      </c>
      <c r="EA129" s="23">
        <v>0</v>
      </c>
      <c r="EB129" s="23">
        <v>0</v>
      </c>
      <c r="EC129" s="23">
        <v>0</v>
      </c>
      <c r="ED129" s="23">
        <v>0</v>
      </c>
      <c r="EE129" s="23">
        <v>0</v>
      </c>
      <c r="EF129" s="23">
        <v>0</v>
      </c>
      <c r="EG129" s="23">
        <v>0</v>
      </c>
      <c r="EH129" s="23">
        <v>1.375</v>
      </c>
      <c r="EI129" s="23" cm="1">
        <f t="array" ref="EI129">VLOOKUP(A129,'Opponent List'!$A1:$P137,16,FALSE)</f>
        <v>1.44045867178637</v>
      </c>
      <c r="EJ129" s="23">
        <v>2.81548972381729</v>
      </c>
    </row>
    <row r="130" ht="13.55" customHeight="1">
      <c r="A130" t="s" s="7">
        <v>96</v>
      </c>
      <c r="B130" s="22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-0.875</v>
      </c>
      <c r="L130" s="23">
        <v>-0.875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>
        <v>0</v>
      </c>
      <c r="AG130" s="23">
        <v>0</v>
      </c>
      <c r="AH130" s="23">
        <v>0</v>
      </c>
      <c r="AI130" s="23">
        <v>0</v>
      </c>
      <c r="AJ130" s="23">
        <v>0</v>
      </c>
      <c r="AK130" s="23">
        <v>0</v>
      </c>
      <c r="AL130" s="23">
        <v>0</v>
      </c>
      <c r="AM130" s="23">
        <v>0</v>
      </c>
      <c r="AN130" s="23">
        <v>0</v>
      </c>
      <c r="AO130" s="23">
        <v>-0.875</v>
      </c>
      <c r="AP130" s="23">
        <v>0</v>
      </c>
      <c r="AQ130" s="23">
        <v>0</v>
      </c>
      <c r="AR130" s="23">
        <v>0</v>
      </c>
      <c r="AS130" s="23">
        <v>0</v>
      </c>
      <c r="AT130" s="23">
        <v>0</v>
      </c>
      <c r="AU130" s="23">
        <v>0</v>
      </c>
      <c r="AV130" s="23">
        <v>0</v>
      </c>
      <c r="AW130" s="23">
        <v>0</v>
      </c>
      <c r="AX130" s="23">
        <v>0</v>
      </c>
      <c r="AY130" s="23">
        <v>0</v>
      </c>
      <c r="AZ130" s="23">
        <v>0</v>
      </c>
      <c r="BA130" s="23">
        <v>0</v>
      </c>
      <c r="BB130" s="23">
        <v>0</v>
      </c>
      <c r="BC130" s="23">
        <v>0</v>
      </c>
      <c r="BD130" s="23">
        <v>0</v>
      </c>
      <c r="BE130" s="23">
        <v>0</v>
      </c>
      <c r="BF130" s="23">
        <v>0</v>
      </c>
      <c r="BG130" s="23">
        <v>0</v>
      </c>
      <c r="BH130" s="23">
        <v>0</v>
      </c>
      <c r="BI130" s="23">
        <v>0.875</v>
      </c>
      <c r="BJ130" s="23">
        <v>0</v>
      </c>
      <c r="BK130" s="23">
        <v>0.875</v>
      </c>
      <c r="BL130" s="23">
        <v>0</v>
      </c>
      <c r="BM130" s="23">
        <v>0</v>
      </c>
      <c r="BN130" s="23">
        <v>0</v>
      </c>
      <c r="BO130" s="23">
        <v>0</v>
      </c>
      <c r="BP130" s="23">
        <v>0</v>
      </c>
      <c r="BQ130" s="23">
        <v>0</v>
      </c>
      <c r="BR130" s="23">
        <v>0</v>
      </c>
      <c r="BS130" s="23">
        <v>0</v>
      </c>
      <c r="BT130" s="23">
        <v>0</v>
      </c>
      <c r="BU130" s="23">
        <v>0</v>
      </c>
      <c r="BV130" s="23">
        <v>0</v>
      </c>
      <c r="BW130" s="23">
        <v>0</v>
      </c>
      <c r="BX130" s="23">
        <v>0</v>
      </c>
      <c r="BY130" s="23">
        <v>0</v>
      </c>
      <c r="BZ130" s="23">
        <v>0</v>
      </c>
      <c r="CA130" s="23">
        <v>0</v>
      </c>
      <c r="CB130" s="23">
        <v>0</v>
      </c>
      <c r="CC130" s="23">
        <v>0</v>
      </c>
      <c r="CD130" s="23">
        <v>0</v>
      </c>
      <c r="CE130" s="23">
        <v>0</v>
      </c>
      <c r="CF130" s="23">
        <v>-0.875</v>
      </c>
      <c r="CG130" s="23">
        <v>0</v>
      </c>
      <c r="CH130" s="23">
        <v>0</v>
      </c>
      <c r="CI130" s="23">
        <v>0</v>
      </c>
      <c r="CJ130" s="23">
        <v>0</v>
      </c>
      <c r="CK130" s="23">
        <v>0</v>
      </c>
      <c r="CL130" s="23">
        <v>0</v>
      </c>
      <c r="CM130" s="23">
        <v>0</v>
      </c>
      <c r="CN130" s="23">
        <v>0</v>
      </c>
      <c r="CO130" s="23">
        <v>0</v>
      </c>
      <c r="CP130" s="23">
        <v>0</v>
      </c>
      <c r="CQ130" s="23">
        <v>0</v>
      </c>
      <c r="CR130" s="23">
        <v>0</v>
      </c>
      <c r="CS130" s="23">
        <v>0</v>
      </c>
      <c r="CT130" s="23">
        <v>0</v>
      </c>
      <c r="CU130" s="23">
        <v>0</v>
      </c>
      <c r="CV130" s="23">
        <v>0</v>
      </c>
      <c r="CW130" s="23">
        <v>0</v>
      </c>
      <c r="CX130" s="23">
        <v>0</v>
      </c>
      <c r="CY130" s="23">
        <v>0</v>
      </c>
      <c r="CZ130" s="23">
        <v>0</v>
      </c>
      <c r="DA130" s="23">
        <v>0</v>
      </c>
      <c r="DB130" s="23">
        <v>0</v>
      </c>
      <c r="DC130" s="23">
        <v>0</v>
      </c>
      <c r="DD130" s="23">
        <v>0</v>
      </c>
      <c r="DE130" s="23">
        <v>0</v>
      </c>
      <c r="DF130" s="23">
        <v>0</v>
      </c>
      <c r="DG130" s="23">
        <v>0</v>
      </c>
      <c r="DH130" s="23">
        <v>0</v>
      </c>
      <c r="DI130" s="23">
        <v>0</v>
      </c>
      <c r="DJ130" s="23">
        <v>0</v>
      </c>
      <c r="DK130" s="23">
        <v>0</v>
      </c>
      <c r="DL130" s="23">
        <v>0.875</v>
      </c>
      <c r="DM130" s="23">
        <v>0</v>
      </c>
      <c r="DN130" s="23">
        <v>0</v>
      </c>
      <c r="DO130" s="23">
        <v>0</v>
      </c>
      <c r="DP130" s="23">
        <v>0</v>
      </c>
      <c r="DQ130" s="23">
        <v>0</v>
      </c>
      <c r="DR130" s="23">
        <v>0</v>
      </c>
      <c r="DS130" s="23">
        <v>0</v>
      </c>
      <c r="DT130" s="23">
        <v>0</v>
      </c>
      <c r="DU130" s="23">
        <v>0</v>
      </c>
      <c r="DV130" s="23">
        <v>0</v>
      </c>
      <c r="DW130" s="23">
        <v>0</v>
      </c>
      <c r="DX130" s="23">
        <v>0</v>
      </c>
      <c r="DY130" s="23">
        <v>0</v>
      </c>
      <c r="DZ130" s="23">
        <v>0</v>
      </c>
      <c r="EA130" s="23">
        <v>0</v>
      </c>
      <c r="EB130" s="23">
        <v>0</v>
      </c>
      <c r="EC130" s="23">
        <v>0</v>
      </c>
      <c r="ED130" s="23">
        <v>0</v>
      </c>
      <c r="EE130" s="23">
        <v>0</v>
      </c>
      <c r="EF130" s="23">
        <v>0</v>
      </c>
      <c r="EG130" s="23">
        <v>0</v>
      </c>
      <c r="EH130" s="23">
        <v>-0.875</v>
      </c>
      <c r="EI130" s="23" cm="1">
        <f t="array" ref="EI130">VLOOKUP(A130,'Opponent List'!$A1:$P137,16,FALSE)</f>
        <v>-1.05470135826677</v>
      </c>
      <c r="EJ130" s="23">
        <v>-1.92985341790185</v>
      </c>
    </row>
    <row r="131" ht="13.55" customHeight="1">
      <c r="A131" t="s" s="7">
        <v>59</v>
      </c>
      <c r="B131" s="22">
        <v>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0.875</v>
      </c>
      <c r="U131" s="23">
        <v>0</v>
      </c>
      <c r="V131" s="23">
        <v>0</v>
      </c>
      <c r="W131" s="23">
        <v>0</v>
      </c>
      <c r="X131" s="23">
        <v>0</v>
      </c>
      <c r="Y131" s="23">
        <v>0</v>
      </c>
      <c r="Z131" s="23">
        <v>0</v>
      </c>
      <c r="AA131" s="23">
        <v>0</v>
      </c>
      <c r="AB131" s="23">
        <v>0</v>
      </c>
      <c r="AC131" s="23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-0.875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-0.875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-0.875</v>
      </c>
      <c r="BM131" s="23">
        <v>0</v>
      </c>
      <c r="BN131" s="23">
        <v>0</v>
      </c>
      <c r="BO131" s="23">
        <v>0</v>
      </c>
      <c r="BP131" s="23">
        <v>0</v>
      </c>
      <c r="BQ131" s="23">
        <v>0</v>
      </c>
      <c r="BR131" s="23">
        <v>0</v>
      </c>
      <c r="BS131" s="23">
        <v>0</v>
      </c>
      <c r="BT131" s="23">
        <v>0</v>
      </c>
      <c r="BU131" s="23">
        <v>0</v>
      </c>
      <c r="BV131" s="23">
        <v>0</v>
      </c>
      <c r="BW131" s="23">
        <v>0</v>
      </c>
      <c r="BX131" s="23">
        <v>0</v>
      </c>
      <c r="BY131" s="23">
        <v>0.875</v>
      </c>
      <c r="BZ131" s="23">
        <v>0.875</v>
      </c>
      <c r="CA131" s="23">
        <v>0</v>
      </c>
      <c r="CB131" s="23">
        <v>0</v>
      </c>
      <c r="CC131" s="23">
        <v>0</v>
      </c>
      <c r="CD131" s="23">
        <v>0</v>
      </c>
      <c r="CE131" s="23">
        <v>0</v>
      </c>
      <c r="CF131" s="23">
        <v>0</v>
      </c>
      <c r="CG131" s="23">
        <v>0</v>
      </c>
      <c r="CH131" s="23">
        <v>0</v>
      </c>
      <c r="CI131" s="23">
        <v>0</v>
      </c>
      <c r="CJ131" s="23">
        <v>0</v>
      </c>
      <c r="CK131" s="23">
        <v>0</v>
      </c>
      <c r="CL131" s="23">
        <v>0</v>
      </c>
      <c r="CM131" s="23">
        <v>0</v>
      </c>
      <c r="CN131" s="23">
        <v>0</v>
      </c>
      <c r="CO131" s="23">
        <v>0</v>
      </c>
      <c r="CP131" s="23">
        <v>0</v>
      </c>
      <c r="CQ131" s="23">
        <v>0</v>
      </c>
      <c r="CR131" s="23">
        <v>0</v>
      </c>
      <c r="CS131" s="23">
        <v>0</v>
      </c>
      <c r="CT131" s="23">
        <v>0</v>
      </c>
      <c r="CU131" s="23">
        <v>0</v>
      </c>
      <c r="CV131" s="23">
        <v>0</v>
      </c>
      <c r="CW131" s="23">
        <v>0</v>
      </c>
      <c r="CX131" s="23">
        <v>0</v>
      </c>
      <c r="CY131" s="23">
        <v>0</v>
      </c>
      <c r="CZ131" s="23">
        <v>0</v>
      </c>
      <c r="DA131" s="23">
        <v>0</v>
      </c>
      <c r="DB131" s="23">
        <v>0</v>
      </c>
      <c r="DC131" s="23">
        <v>0</v>
      </c>
      <c r="DD131" s="23">
        <v>0</v>
      </c>
      <c r="DE131" s="23">
        <v>0</v>
      </c>
      <c r="DF131" s="23">
        <v>0</v>
      </c>
      <c r="DG131" s="23">
        <v>0</v>
      </c>
      <c r="DH131" s="23">
        <v>0</v>
      </c>
      <c r="DI131" s="23">
        <v>0</v>
      </c>
      <c r="DJ131" s="23">
        <v>0</v>
      </c>
      <c r="DK131" s="23">
        <v>0</v>
      </c>
      <c r="DL131" s="23">
        <v>0</v>
      </c>
      <c r="DM131" s="23">
        <v>0</v>
      </c>
      <c r="DN131" s="23">
        <v>0</v>
      </c>
      <c r="DO131" s="23">
        <v>0</v>
      </c>
      <c r="DP131" s="23">
        <v>0</v>
      </c>
      <c r="DQ131" s="23">
        <v>0</v>
      </c>
      <c r="DR131" s="23">
        <v>-1.125</v>
      </c>
      <c r="DS131" s="23">
        <v>0</v>
      </c>
      <c r="DT131" s="23">
        <v>0</v>
      </c>
      <c r="DU131" s="23">
        <v>0</v>
      </c>
      <c r="DV131" s="23">
        <v>0</v>
      </c>
      <c r="DW131" s="23">
        <v>0</v>
      </c>
      <c r="DX131" s="23">
        <v>0</v>
      </c>
      <c r="DY131" s="23">
        <v>0</v>
      </c>
      <c r="DZ131" s="23">
        <v>0</v>
      </c>
      <c r="EA131" s="23">
        <v>0</v>
      </c>
      <c r="EB131" s="23">
        <v>0</v>
      </c>
      <c r="EC131" s="23">
        <v>0</v>
      </c>
      <c r="ED131" s="23">
        <v>0</v>
      </c>
      <c r="EE131" s="23">
        <v>0</v>
      </c>
      <c r="EF131" s="23">
        <v>0</v>
      </c>
      <c r="EG131" s="23">
        <v>0</v>
      </c>
      <c r="EH131" s="23">
        <v>-1.125</v>
      </c>
      <c r="EI131" s="23" cm="1">
        <f t="array" ref="EI131">VLOOKUP(A131,'Opponent List'!$A1:$P137,16,FALSE)</f>
        <v>2.48118004691799</v>
      </c>
      <c r="EJ131" s="23">
        <v>1.35598510611147</v>
      </c>
    </row>
    <row r="132" ht="13.55" customHeight="1">
      <c r="A132" t="s" s="7">
        <v>60</v>
      </c>
      <c r="B132" s="22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23">
        <v>0</v>
      </c>
      <c r="AC132" s="23">
        <v>0</v>
      </c>
      <c r="AD132" s="23">
        <v>0</v>
      </c>
      <c r="AE132" s="23">
        <v>0</v>
      </c>
      <c r="AF132" s="23">
        <v>0</v>
      </c>
      <c r="AG132" s="23">
        <v>0</v>
      </c>
      <c r="AH132" s="23">
        <v>0</v>
      </c>
      <c r="AI132" s="23">
        <v>0</v>
      </c>
      <c r="AJ132" s="23">
        <v>0</v>
      </c>
      <c r="AK132" s="23">
        <v>0</v>
      </c>
      <c r="AL132" s="23">
        <v>0</v>
      </c>
      <c r="AM132" s="23">
        <v>0</v>
      </c>
      <c r="AN132" s="23">
        <v>0</v>
      </c>
      <c r="AO132" s="23">
        <v>0</v>
      </c>
      <c r="AP132" s="23">
        <v>0</v>
      </c>
      <c r="AQ132" s="23">
        <v>0</v>
      </c>
      <c r="AR132" s="23">
        <v>0</v>
      </c>
      <c r="AS132" s="23">
        <v>0</v>
      </c>
      <c r="AT132" s="23">
        <v>0</v>
      </c>
      <c r="AU132" s="23">
        <v>0</v>
      </c>
      <c r="AV132" s="23">
        <v>0</v>
      </c>
      <c r="AW132" s="23">
        <v>0</v>
      </c>
      <c r="AX132" s="23">
        <v>0</v>
      </c>
      <c r="AY132" s="23">
        <v>0</v>
      </c>
      <c r="AZ132" s="23">
        <v>0</v>
      </c>
      <c r="BA132" s="23">
        <v>0</v>
      </c>
      <c r="BB132" s="23">
        <v>0</v>
      </c>
      <c r="BC132" s="23">
        <v>0</v>
      </c>
      <c r="BD132" s="23">
        <v>0</v>
      </c>
      <c r="BE132" s="23">
        <v>0</v>
      </c>
      <c r="BF132" s="23">
        <v>0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v>0</v>
      </c>
      <c r="BQ132" s="23">
        <v>0</v>
      </c>
      <c r="BR132" s="23">
        <v>0</v>
      </c>
      <c r="BS132" s="23">
        <v>0</v>
      </c>
      <c r="BT132" s="23">
        <v>0</v>
      </c>
      <c r="BU132" s="23">
        <v>0</v>
      </c>
      <c r="BV132" s="23">
        <v>0</v>
      </c>
      <c r="BW132" s="23">
        <v>0</v>
      </c>
      <c r="BX132" s="23">
        <v>0</v>
      </c>
      <c r="BY132" s="23">
        <v>0</v>
      </c>
      <c r="BZ132" s="23">
        <v>0</v>
      </c>
      <c r="CA132" s="23">
        <v>0</v>
      </c>
      <c r="CB132" s="23">
        <v>0</v>
      </c>
      <c r="CC132" s="23">
        <v>-1.125</v>
      </c>
      <c r="CD132" s="23">
        <v>0</v>
      </c>
      <c r="CE132" s="23">
        <v>0</v>
      </c>
      <c r="CF132" s="23">
        <v>0</v>
      </c>
      <c r="CG132" s="23">
        <v>0</v>
      </c>
      <c r="CH132" s="23">
        <v>0</v>
      </c>
      <c r="CI132" s="23">
        <v>0</v>
      </c>
      <c r="CJ132" s="23">
        <v>0</v>
      </c>
      <c r="CK132" s="23">
        <v>0</v>
      </c>
      <c r="CL132" s="23">
        <v>0</v>
      </c>
      <c r="CM132" s="23">
        <v>0</v>
      </c>
      <c r="CN132" s="23">
        <v>0</v>
      </c>
      <c r="CO132" s="23">
        <v>0</v>
      </c>
      <c r="CP132" s="23">
        <v>0</v>
      </c>
      <c r="CQ132" s="23">
        <v>0</v>
      </c>
      <c r="CR132" s="23">
        <v>-0.875</v>
      </c>
      <c r="CS132" s="23">
        <v>0</v>
      </c>
      <c r="CT132" s="23">
        <v>0</v>
      </c>
      <c r="CU132" s="23">
        <v>0</v>
      </c>
      <c r="CV132" s="23">
        <v>0</v>
      </c>
      <c r="CW132" s="23">
        <v>0</v>
      </c>
      <c r="CX132" s="23">
        <v>0</v>
      </c>
      <c r="CY132" s="23">
        <v>0</v>
      </c>
      <c r="CZ132" s="23">
        <v>0</v>
      </c>
      <c r="DA132" s="23">
        <v>0</v>
      </c>
      <c r="DB132" s="23">
        <v>0</v>
      </c>
      <c r="DC132" s="23">
        <v>0</v>
      </c>
      <c r="DD132" s="23">
        <v>0</v>
      </c>
      <c r="DE132" s="23">
        <v>-0.875</v>
      </c>
      <c r="DF132" s="23">
        <v>0</v>
      </c>
      <c r="DG132" s="23">
        <v>0</v>
      </c>
      <c r="DH132" s="23">
        <v>0</v>
      </c>
      <c r="DI132" s="23">
        <v>0</v>
      </c>
      <c r="DJ132" s="23">
        <v>0</v>
      </c>
      <c r="DK132" s="23">
        <v>0</v>
      </c>
      <c r="DL132" s="23">
        <v>0</v>
      </c>
      <c r="DM132" s="23">
        <v>0</v>
      </c>
      <c r="DN132" s="23">
        <v>0</v>
      </c>
      <c r="DO132" s="23">
        <v>0</v>
      </c>
      <c r="DP132" s="23">
        <v>0</v>
      </c>
      <c r="DQ132" s="23">
        <v>0</v>
      </c>
      <c r="DR132" s="23">
        <v>-0.875</v>
      </c>
      <c r="DS132" s="23">
        <v>0</v>
      </c>
      <c r="DT132" s="23">
        <v>0</v>
      </c>
      <c r="DU132" s="23">
        <v>0.875</v>
      </c>
      <c r="DV132" s="23">
        <v>0</v>
      </c>
      <c r="DW132" s="23">
        <v>0</v>
      </c>
      <c r="DX132" s="23">
        <v>0</v>
      </c>
      <c r="DY132" s="23">
        <v>0</v>
      </c>
      <c r="DZ132" s="23">
        <v>0</v>
      </c>
      <c r="EA132" s="23">
        <v>0</v>
      </c>
      <c r="EB132" s="23">
        <v>0</v>
      </c>
      <c r="EC132" s="23">
        <v>1.75</v>
      </c>
      <c r="ED132" s="23">
        <v>0</v>
      </c>
      <c r="EE132" s="23">
        <v>0</v>
      </c>
      <c r="EF132" s="23">
        <v>0</v>
      </c>
      <c r="EG132" s="23">
        <v>0</v>
      </c>
      <c r="EH132" s="23">
        <v>-1.125</v>
      </c>
      <c r="EI132" s="23" cm="1">
        <f t="array" ref="EI132">VLOOKUP(A132,'Opponent List'!$A1:$P137,16,FALSE)</f>
        <v>2.31047254126935</v>
      </c>
      <c r="EJ132" s="23">
        <v>1.18530535993094</v>
      </c>
    </row>
    <row r="133" ht="13.55" customHeight="1">
      <c r="A133" t="s" s="7">
        <v>93</v>
      </c>
      <c r="B133" s="22">
        <v>0</v>
      </c>
      <c r="C133" s="23">
        <v>0.875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3">
        <v>0</v>
      </c>
      <c r="AM133" s="23">
        <v>0</v>
      </c>
      <c r="AN133" s="23">
        <v>0</v>
      </c>
      <c r="AO133" s="23">
        <v>0</v>
      </c>
      <c r="AP133" s="23">
        <v>0</v>
      </c>
      <c r="AQ133" s="23">
        <v>0</v>
      </c>
      <c r="AR133" s="23">
        <v>0</v>
      </c>
      <c r="AS133" s="23">
        <v>0</v>
      </c>
      <c r="AT133" s="23">
        <v>0</v>
      </c>
      <c r="AU133" s="23">
        <v>0</v>
      </c>
      <c r="AV133" s="23">
        <v>0</v>
      </c>
      <c r="AW133" s="23">
        <v>0</v>
      </c>
      <c r="AX133" s="23">
        <v>0</v>
      </c>
      <c r="AY133" s="23">
        <v>0</v>
      </c>
      <c r="AZ133" s="23">
        <v>0</v>
      </c>
      <c r="BA133" s="23">
        <v>0</v>
      </c>
      <c r="BB133" s="23">
        <v>0</v>
      </c>
      <c r="BC133" s="23">
        <v>0</v>
      </c>
      <c r="BD133" s="23">
        <v>0</v>
      </c>
      <c r="BE133" s="23">
        <v>0</v>
      </c>
      <c r="BF133" s="23">
        <v>0</v>
      </c>
      <c r="BG133" s="23">
        <v>0</v>
      </c>
      <c r="BH133" s="23">
        <v>0</v>
      </c>
      <c r="BI133" s="23">
        <v>0</v>
      </c>
      <c r="BJ133" s="23">
        <v>0</v>
      </c>
      <c r="BK133" s="23">
        <v>-1.125</v>
      </c>
      <c r="BL133" s="23">
        <v>0</v>
      </c>
      <c r="BM133" s="23">
        <v>0</v>
      </c>
      <c r="BN133" s="23">
        <v>0</v>
      </c>
      <c r="BO133" s="23">
        <v>0</v>
      </c>
      <c r="BP133" s="23">
        <v>0</v>
      </c>
      <c r="BQ133" s="23">
        <v>0</v>
      </c>
      <c r="BR133" s="23">
        <v>0</v>
      </c>
      <c r="BS133" s="23">
        <v>0</v>
      </c>
      <c r="BT133" s="23">
        <v>0</v>
      </c>
      <c r="BU133" s="23">
        <v>0</v>
      </c>
      <c r="BV133" s="23">
        <v>0</v>
      </c>
      <c r="BW133" s="23">
        <v>0</v>
      </c>
      <c r="BX133" s="23">
        <v>0</v>
      </c>
      <c r="BY133" s="23">
        <v>0</v>
      </c>
      <c r="BZ133" s="23">
        <v>0</v>
      </c>
      <c r="CA133" s="23">
        <v>0</v>
      </c>
      <c r="CB133" s="23">
        <v>0</v>
      </c>
      <c r="CC133" s="23">
        <v>0</v>
      </c>
      <c r="CD133" s="23">
        <v>0</v>
      </c>
      <c r="CE133" s="23">
        <v>0.875</v>
      </c>
      <c r="CF133" s="23">
        <v>0</v>
      </c>
      <c r="CG133" s="23">
        <v>0</v>
      </c>
      <c r="CH133" s="23">
        <v>0</v>
      </c>
      <c r="CI133" s="23">
        <v>0</v>
      </c>
      <c r="CJ133" s="23">
        <v>0</v>
      </c>
      <c r="CK133" s="23">
        <v>0</v>
      </c>
      <c r="CL133" s="23">
        <v>0</v>
      </c>
      <c r="CM133" s="23">
        <v>0</v>
      </c>
      <c r="CN133" s="23">
        <v>0</v>
      </c>
      <c r="CO133" s="23">
        <v>0</v>
      </c>
      <c r="CP133" s="23">
        <v>0</v>
      </c>
      <c r="CQ133" s="23">
        <v>0</v>
      </c>
      <c r="CR133" s="23">
        <v>0</v>
      </c>
      <c r="CS133" s="23">
        <v>0</v>
      </c>
      <c r="CT133" s="23">
        <v>0</v>
      </c>
      <c r="CU133" s="23">
        <v>0</v>
      </c>
      <c r="CV133" s="23">
        <v>0</v>
      </c>
      <c r="CW133" s="23">
        <v>0</v>
      </c>
      <c r="CX133" s="23">
        <v>0</v>
      </c>
      <c r="CY133" s="23">
        <v>0</v>
      </c>
      <c r="CZ133" s="23">
        <v>0</v>
      </c>
      <c r="DA133" s="23">
        <v>0</v>
      </c>
      <c r="DB133" s="23">
        <v>0</v>
      </c>
      <c r="DC133" s="23">
        <v>0</v>
      </c>
      <c r="DD133" s="23">
        <v>0</v>
      </c>
      <c r="DE133" s="23">
        <v>0</v>
      </c>
      <c r="DF133" s="23">
        <v>0</v>
      </c>
      <c r="DG133" s="23">
        <v>0</v>
      </c>
      <c r="DH133" s="23">
        <v>0</v>
      </c>
      <c r="DI133" s="23">
        <v>0</v>
      </c>
      <c r="DJ133" s="23">
        <v>0</v>
      </c>
      <c r="DK133" s="23">
        <v>0</v>
      </c>
      <c r="DL133" s="23">
        <v>0</v>
      </c>
      <c r="DM133" s="23">
        <v>0.875</v>
      </c>
      <c r="DN133" s="23">
        <v>0</v>
      </c>
      <c r="DO133" s="23">
        <v>0</v>
      </c>
      <c r="DP133" s="23">
        <v>0</v>
      </c>
      <c r="DQ133" s="23">
        <v>0</v>
      </c>
      <c r="DR133" s="23">
        <v>0</v>
      </c>
      <c r="DS133" s="23">
        <v>0</v>
      </c>
      <c r="DT133" s="23">
        <v>0</v>
      </c>
      <c r="DU133" s="23">
        <v>0</v>
      </c>
      <c r="DV133" s="23">
        <v>0</v>
      </c>
      <c r="DW133" s="23">
        <v>0</v>
      </c>
      <c r="DX133" s="23">
        <v>0</v>
      </c>
      <c r="DY133" s="23">
        <v>0</v>
      </c>
      <c r="DZ133" s="23">
        <v>0</v>
      </c>
      <c r="EA133" s="23">
        <v>0</v>
      </c>
      <c r="EB133" s="23">
        <v>-1.75</v>
      </c>
      <c r="EC133" s="23">
        <v>0</v>
      </c>
      <c r="ED133" s="23">
        <v>0</v>
      </c>
      <c r="EE133" s="23">
        <v>0</v>
      </c>
      <c r="EF133" s="23">
        <v>-1.125</v>
      </c>
      <c r="EG133" s="23">
        <v>0</v>
      </c>
      <c r="EH133" s="23">
        <v>-1.375</v>
      </c>
      <c r="EI133" s="23" cm="1">
        <f t="array" ref="EI133">VLOOKUP(A133,'Opponent List'!$A1:$P137,16,FALSE)</f>
        <v>-0.51861651436503</v>
      </c>
      <c r="EJ133" s="23">
        <v>-1.89357854452855</v>
      </c>
    </row>
    <row r="134" ht="13.55" customHeight="1">
      <c r="A134" t="s" s="7">
        <v>49</v>
      </c>
      <c r="B134" s="22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-0.875</v>
      </c>
      <c r="X134" s="23">
        <v>0</v>
      </c>
      <c r="Y134" s="23">
        <v>1.125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>
        <v>0</v>
      </c>
      <c r="AG134" s="23">
        <v>0</v>
      </c>
      <c r="AH134" s="23">
        <v>0</v>
      </c>
      <c r="AI134" s="23">
        <v>0</v>
      </c>
      <c r="AJ134" s="23">
        <v>0</v>
      </c>
      <c r="AK134" s="23">
        <v>0</v>
      </c>
      <c r="AL134" s="23">
        <v>0</v>
      </c>
      <c r="AM134" s="23">
        <v>0</v>
      </c>
      <c r="AN134" s="23">
        <v>0</v>
      </c>
      <c r="AO134" s="23">
        <v>0</v>
      </c>
      <c r="AP134" s="23">
        <v>0</v>
      </c>
      <c r="AQ134" s="23">
        <v>0</v>
      </c>
      <c r="AR134" s="23">
        <v>0</v>
      </c>
      <c r="AS134" s="23">
        <v>0</v>
      </c>
      <c r="AT134" s="23">
        <v>0</v>
      </c>
      <c r="AU134" s="23">
        <v>0</v>
      </c>
      <c r="AV134" s="23">
        <v>0</v>
      </c>
      <c r="AW134" s="23">
        <v>0</v>
      </c>
      <c r="AX134" s="23">
        <v>0</v>
      </c>
      <c r="AY134" s="23">
        <v>0</v>
      </c>
      <c r="AZ134" s="23">
        <v>0</v>
      </c>
      <c r="BA134" s="23">
        <v>0</v>
      </c>
      <c r="BB134" s="23">
        <v>0</v>
      </c>
      <c r="BC134" s="23">
        <v>0</v>
      </c>
      <c r="BD134" s="23">
        <v>0</v>
      </c>
      <c r="BE134" s="23">
        <v>-1.125</v>
      </c>
      <c r="BF134" s="23">
        <v>0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v>0</v>
      </c>
      <c r="BQ134" s="23">
        <v>0</v>
      </c>
      <c r="BR134" s="23">
        <v>0</v>
      </c>
      <c r="BS134" s="23">
        <v>0.875</v>
      </c>
      <c r="BT134" s="23">
        <v>0</v>
      </c>
      <c r="BU134" s="23">
        <v>0</v>
      </c>
      <c r="BV134" s="23">
        <v>0</v>
      </c>
      <c r="BW134" s="23">
        <v>0</v>
      </c>
      <c r="BX134" s="23">
        <v>0</v>
      </c>
      <c r="BY134" s="23">
        <v>0</v>
      </c>
      <c r="BZ134" s="23">
        <v>0</v>
      </c>
      <c r="CA134" s="23">
        <v>0</v>
      </c>
      <c r="CB134" s="23">
        <v>0</v>
      </c>
      <c r="CC134" s="23">
        <v>0</v>
      </c>
      <c r="CD134" s="23">
        <v>0</v>
      </c>
      <c r="CE134" s="23">
        <v>0</v>
      </c>
      <c r="CF134" s="23">
        <v>0</v>
      </c>
      <c r="CG134" s="23">
        <v>0</v>
      </c>
      <c r="CH134" s="23">
        <v>0</v>
      </c>
      <c r="CI134" s="23">
        <v>0</v>
      </c>
      <c r="CJ134" s="23">
        <v>0</v>
      </c>
      <c r="CK134" s="23">
        <v>0</v>
      </c>
      <c r="CL134" s="23">
        <v>0</v>
      </c>
      <c r="CM134" s="23">
        <v>0</v>
      </c>
      <c r="CN134" s="23">
        <v>0</v>
      </c>
      <c r="CO134" s="23">
        <v>0</v>
      </c>
      <c r="CP134" s="23">
        <v>0</v>
      </c>
      <c r="CQ134" s="23">
        <v>0</v>
      </c>
      <c r="CR134" s="23">
        <v>0</v>
      </c>
      <c r="CS134" s="23">
        <v>1.125</v>
      </c>
      <c r="CT134" s="23">
        <v>1.125</v>
      </c>
      <c r="CU134" s="23">
        <v>0.875</v>
      </c>
      <c r="CV134" s="23">
        <v>0</v>
      </c>
      <c r="CW134" s="23">
        <v>0</v>
      </c>
      <c r="CX134" s="23">
        <v>0</v>
      </c>
      <c r="CY134" s="23">
        <v>0</v>
      </c>
      <c r="CZ134" s="23">
        <v>0</v>
      </c>
      <c r="DA134" s="23">
        <v>0</v>
      </c>
      <c r="DB134" s="23">
        <v>0</v>
      </c>
      <c r="DC134" s="23">
        <v>0</v>
      </c>
      <c r="DD134" s="23">
        <v>0</v>
      </c>
      <c r="DE134" s="23">
        <v>0</v>
      </c>
      <c r="DF134" s="23">
        <v>0</v>
      </c>
      <c r="DG134" s="23">
        <v>0</v>
      </c>
      <c r="DH134" s="23">
        <v>0</v>
      </c>
      <c r="DI134" s="23">
        <v>0</v>
      </c>
      <c r="DJ134" s="23">
        <v>0</v>
      </c>
      <c r="DK134" s="23">
        <v>0</v>
      </c>
      <c r="DL134" s="23">
        <v>0</v>
      </c>
      <c r="DM134" s="23">
        <v>0</v>
      </c>
      <c r="DN134" s="23">
        <v>0</v>
      </c>
      <c r="DO134" s="23">
        <v>0</v>
      </c>
      <c r="DP134" s="23">
        <v>0</v>
      </c>
      <c r="DQ134" s="23">
        <v>0</v>
      </c>
      <c r="DR134" s="23">
        <v>0</v>
      </c>
      <c r="DS134" s="23">
        <v>0</v>
      </c>
      <c r="DT134" s="23">
        <v>0</v>
      </c>
      <c r="DU134" s="23">
        <v>0</v>
      </c>
      <c r="DV134" s="23">
        <v>0</v>
      </c>
      <c r="DW134" s="23">
        <v>0</v>
      </c>
      <c r="DX134" s="23">
        <v>0</v>
      </c>
      <c r="DY134" s="23">
        <v>0</v>
      </c>
      <c r="DZ134" s="23">
        <v>0</v>
      </c>
      <c r="EA134" s="23">
        <v>0</v>
      </c>
      <c r="EB134" s="23">
        <v>0</v>
      </c>
      <c r="EC134" s="23">
        <v>0</v>
      </c>
      <c r="ED134" s="23">
        <v>0</v>
      </c>
      <c r="EE134" s="23">
        <v>0</v>
      </c>
      <c r="EF134" s="23">
        <v>0</v>
      </c>
      <c r="EG134" s="23">
        <v>0</v>
      </c>
      <c r="EH134" s="23">
        <v>3.125</v>
      </c>
      <c r="EI134" s="23" cm="1">
        <f t="array" ref="EI134">VLOOKUP(A134,'Opponent List'!$A1:$P137,16,FALSE)</f>
        <v>-1.09775513955945</v>
      </c>
      <c r="EJ134" s="23">
        <v>2.02733086035033</v>
      </c>
    </row>
    <row r="135" ht="13.55" customHeight="1">
      <c r="A135" t="s" s="7">
        <v>35</v>
      </c>
      <c r="B135" s="22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0.875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0.875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3">
        <v>0</v>
      </c>
      <c r="AM135" s="23">
        <v>0</v>
      </c>
      <c r="AN135" s="23">
        <v>0</v>
      </c>
      <c r="AO135" s="23">
        <v>0</v>
      </c>
      <c r="AP135" s="23">
        <v>0</v>
      </c>
      <c r="AQ135" s="23">
        <v>0</v>
      </c>
      <c r="AR135" s="23">
        <v>0</v>
      </c>
      <c r="AS135" s="23">
        <v>0</v>
      </c>
      <c r="AT135" s="23">
        <v>0</v>
      </c>
      <c r="AU135" s="23">
        <v>0</v>
      </c>
      <c r="AV135" s="23">
        <v>0</v>
      </c>
      <c r="AW135" s="23">
        <v>0</v>
      </c>
      <c r="AX135" s="23">
        <v>1.125</v>
      </c>
      <c r="AY135" s="23">
        <v>0</v>
      </c>
      <c r="AZ135" s="23">
        <v>0</v>
      </c>
      <c r="BA135" s="23">
        <v>0</v>
      </c>
      <c r="BB135" s="23">
        <v>0.875</v>
      </c>
      <c r="BC135" s="23">
        <v>0</v>
      </c>
      <c r="BD135" s="23">
        <v>0</v>
      </c>
      <c r="BE135" s="23">
        <v>0</v>
      </c>
      <c r="BF135" s="23">
        <v>0</v>
      </c>
      <c r="BG135" s="23">
        <v>0</v>
      </c>
      <c r="BH135" s="23">
        <v>1.125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v>0</v>
      </c>
      <c r="BQ135" s="23">
        <v>0</v>
      </c>
      <c r="BR135" s="23">
        <v>0</v>
      </c>
      <c r="BS135" s="23">
        <v>0</v>
      </c>
      <c r="BT135" s="23">
        <v>0</v>
      </c>
      <c r="BU135" s="23">
        <v>0</v>
      </c>
      <c r="BV135" s="23">
        <v>0</v>
      </c>
      <c r="BW135" s="23">
        <v>0</v>
      </c>
      <c r="BX135" s="23">
        <v>0</v>
      </c>
      <c r="BY135" s="23">
        <v>0</v>
      </c>
      <c r="BZ135" s="23">
        <v>0</v>
      </c>
      <c r="CA135" s="23">
        <v>0</v>
      </c>
      <c r="CB135" s="23">
        <v>0</v>
      </c>
      <c r="CC135" s="23">
        <v>0</v>
      </c>
      <c r="CD135" s="23">
        <v>0</v>
      </c>
      <c r="CE135" s="23">
        <v>0</v>
      </c>
      <c r="CF135" s="23">
        <v>0</v>
      </c>
      <c r="CG135" s="23">
        <v>0</v>
      </c>
      <c r="CH135" s="23">
        <v>0</v>
      </c>
      <c r="CI135" s="23">
        <v>0</v>
      </c>
      <c r="CJ135" s="23">
        <v>0</v>
      </c>
      <c r="CK135" s="23">
        <v>0</v>
      </c>
      <c r="CL135" s="23">
        <v>0</v>
      </c>
      <c r="CM135" s="23">
        <v>0</v>
      </c>
      <c r="CN135" s="23">
        <v>0</v>
      </c>
      <c r="CO135" s="23">
        <v>0</v>
      </c>
      <c r="CP135" s="23">
        <v>0</v>
      </c>
      <c r="CQ135" s="23">
        <v>0</v>
      </c>
      <c r="CR135" s="23">
        <v>0</v>
      </c>
      <c r="CS135" s="23">
        <v>0</v>
      </c>
      <c r="CT135" s="23">
        <v>0</v>
      </c>
      <c r="CU135" s="23">
        <v>0</v>
      </c>
      <c r="CV135" s="23">
        <v>0</v>
      </c>
      <c r="CW135" s="23">
        <v>0</v>
      </c>
      <c r="CX135" s="23">
        <v>0</v>
      </c>
      <c r="CY135" s="23">
        <v>0</v>
      </c>
      <c r="CZ135" s="23">
        <v>-0.875</v>
      </c>
      <c r="DA135" s="23">
        <v>0</v>
      </c>
      <c r="DB135" s="23">
        <v>0</v>
      </c>
      <c r="DC135" s="23">
        <v>0</v>
      </c>
      <c r="DD135" s="23">
        <v>0</v>
      </c>
      <c r="DE135" s="23">
        <v>0</v>
      </c>
      <c r="DF135" s="23">
        <v>0</v>
      </c>
      <c r="DG135" s="23">
        <v>0</v>
      </c>
      <c r="DH135" s="23">
        <v>0</v>
      </c>
      <c r="DI135" s="23">
        <v>0</v>
      </c>
      <c r="DJ135" s="23">
        <v>0</v>
      </c>
      <c r="DK135" s="23">
        <v>0</v>
      </c>
      <c r="DL135" s="23">
        <v>0</v>
      </c>
      <c r="DM135" s="23">
        <v>0</v>
      </c>
      <c r="DN135" s="23">
        <v>0</v>
      </c>
      <c r="DO135" s="23">
        <v>0</v>
      </c>
      <c r="DP135" s="23">
        <v>0</v>
      </c>
      <c r="DQ135" s="23">
        <v>0</v>
      </c>
      <c r="DR135" s="23">
        <v>0</v>
      </c>
      <c r="DS135" s="23">
        <v>0</v>
      </c>
      <c r="DT135" s="23">
        <v>0</v>
      </c>
      <c r="DU135" s="23">
        <v>0</v>
      </c>
      <c r="DV135" s="23">
        <v>-1.125</v>
      </c>
      <c r="DW135" s="23">
        <v>0</v>
      </c>
      <c r="DX135" s="23">
        <v>0</v>
      </c>
      <c r="DY135" s="23">
        <v>0</v>
      </c>
      <c r="DZ135" s="23">
        <v>0</v>
      </c>
      <c r="EA135" s="23">
        <v>0</v>
      </c>
      <c r="EB135" s="23">
        <v>0</v>
      </c>
      <c r="EC135" s="23">
        <v>0</v>
      </c>
      <c r="ED135" s="23">
        <v>0</v>
      </c>
      <c r="EE135" s="23">
        <v>0</v>
      </c>
      <c r="EF135" s="23">
        <v>0</v>
      </c>
      <c r="EG135" s="23">
        <v>0</v>
      </c>
      <c r="EH135" s="23">
        <v>2.875</v>
      </c>
      <c r="EI135" s="23" cm="1">
        <f t="array" ref="EI135">VLOOKUP(A135,'Opponent List'!$A1:$P137,16,FALSE)</f>
        <v>0.440149133509543</v>
      </c>
      <c r="EJ135" s="23">
        <v>3.31512010809599</v>
      </c>
    </row>
    <row r="136" ht="13.55" customHeight="1">
      <c r="A136" t="s" s="7">
        <v>50</v>
      </c>
      <c r="B136" s="22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-1.125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  <c r="AH136" s="23">
        <v>0</v>
      </c>
      <c r="AI136" s="23">
        <v>0</v>
      </c>
      <c r="AJ136" s="23">
        <v>0</v>
      </c>
      <c r="AK136" s="23">
        <v>0</v>
      </c>
      <c r="AL136" s="23">
        <v>0</v>
      </c>
      <c r="AM136" s="23">
        <v>0</v>
      </c>
      <c r="AN136" s="23">
        <v>0</v>
      </c>
      <c r="AO136" s="23">
        <v>0</v>
      </c>
      <c r="AP136" s="23">
        <v>0</v>
      </c>
      <c r="AQ136" s="23">
        <v>0</v>
      </c>
      <c r="AR136" s="23">
        <v>-1.125</v>
      </c>
      <c r="AS136" s="23">
        <v>0</v>
      </c>
      <c r="AT136" s="23">
        <v>0</v>
      </c>
      <c r="AU136" s="23">
        <v>0</v>
      </c>
      <c r="AV136" s="23">
        <v>0</v>
      </c>
      <c r="AW136" s="23">
        <v>0</v>
      </c>
      <c r="AX136" s="23">
        <v>0</v>
      </c>
      <c r="AY136" s="23">
        <v>0</v>
      </c>
      <c r="AZ136" s="23">
        <v>0</v>
      </c>
      <c r="BA136" s="23">
        <v>0</v>
      </c>
      <c r="BB136" s="23">
        <v>0</v>
      </c>
      <c r="BC136" s="23">
        <v>0</v>
      </c>
      <c r="BD136" s="23">
        <v>0</v>
      </c>
      <c r="BE136" s="23">
        <v>0</v>
      </c>
      <c r="BF136" s="23">
        <v>0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v>1.125</v>
      </c>
      <c r="BQ136" s="23">
        <v>0</v>
      </c>
      <c r="BR136" s="23">
        <v>0</v>
      </c>
      <c r="BS136" s="23">
        <v>0</v>
      </c>
      <c r="BT136" s="23">
        <v>0</v>
      </c>
      <c r="BU136" s="23">
        <v>0</v>
      </c>
      <c r="BV136" s="23">
        <v>0</v>
      </c>
      <c r="BW136" s="23">
        <v>0</v>
      </c>
      <c r="BX136" s="23">
        <v>0</v>
      </c>
      <c r="BY136" s="23">
        <v>0</v>
      </c>
      <c r="BZ136" s="23">
        <v>0</v>
      </c>
      <c r="CA136" s="23">
        <v>0</v>
      </c>
      <c r="CB136" s="23">
        <v>0</v>
      </c>
      <c r="CC136" s="23">
        <v>0</v>
      </c>
      <c r="CD136" s="23">
        <v>0</v>
      </c>
      <c r="CE136" s="23">
        <v>0</v>
      </c>
      <c r="CF136" s="23">
        <v>0</v>
      </c>
      <c r="CG136" s="23">
        <v>-1.125</v>
      </c>
      <c r="CH136" s="23">
        <v>0</v>
      </c>
      <c r="CI136" s="23">
        <v>0</v>
      </c>
      <c r="CJ136" s="23">
        <v>0</v>
      </c>
      <c r="CK136" s="23">
        <v>0</v>
      </c>
      <c r="CL136" s="23">
        <v>0</v>
      </c>
      <c r="CM136" s="23">
        <v>0</v>
      </c>
      <c r="CN136" s="23">
        <v>0</v>
      </c>
      <c r="CO136" s="23">
        <v>0</v>
      </c>
      <c r="CP136" s="23">
        <v>0</v>
      </c>
      <c r="CQ136" s="23">
        <v>0</v>
      </c>
      <c r="CR136" s="23">
        <v>0</v>
      </c>
      <c r="CS136" s="23">
        <v>0</v>
      </c>
      <c r="CT136" s="23">
        <v>0</v>
      </c>
      <c r="CU136" s="23">
        <v>0</v>
      </c>
      <c r="CV136" s="23">
        <v>0</v>
      </c>
      <c r="CW136" s="23">
        <v>0</v>
      </c>
      <c r="CX136" s="23">
        <v>0</v>
      </c>
      <c r="CY136" s="23">
        <v>0.875</v>
      </c>
      <c r="CZ136" s="23">
        <v>0</v>
      </c>
      <c r="DA136" s="23">
        <v>0</v>
      </c>
      <c r="DB136" s="23">
        <v>0</v>
      </c>
      <c r="DC136" s="23">
        <v>0</v>
      </c>
      <c r="DD136" s="23">
        <v>0</v>
      </c>
      <c r="DE136" s="23">
        <v>0</v>
      </c>
      <c r="DF136" s="23">
        <v>0</v>
      </c>
      <c r="DG136" s="23">
        <v>0</v>
      </c>
      <c r="DH136" s="23">
        <v>0</v>
      </c>
      <c r="DI136" s="23">
        <v>0</v>
      </c>
      <c r="DJ136" s="23">
        <v>0</v>
      </c>
      <c r="DK136" s="23">
        <v>0</v>
      </c>
      <c r="DL136" s="23">
        <v>0.875</v>
      </c>
      <c r="DM136" s="23">
        <v>0</v>
      </c>
      <c r="DN136" s="23">
        <v>0</v>
      </c>
      <c r="DO136" s="23">
        <v>0</v>
      </c>
      <c r="DP136" s="23">
        <v>0</v>
      </c>
      <c r="DQ136" s="23">
        <v>0</v>
      </c>
      <c r="DR136" s="23">
        <v>0</v>
      </c>
      <c r="DS136" s="23">
        <v>0</v>
      </c>
      <c r="DT136" s="23">
        <v>0</v>
      </c>
      <c r="DU136" s="23">
        <v>0</v>
      </c>
      <c r="DV136" s="23">
        <v>0</v>
      </c>
      <c r="DW136" s="23">
        <v>0</v>
      </c>
      <c r="DX136" s="23">
        <v>0</v>
      </c>
      <c r="DY136" s="23">
        <v>0</v>
      </c>
      <c r="DZ136" s="23">
        <v>0</v>
      </c>
      <c r="EA136" s="23">
        <v>0</v>
      </c>
      <c r="EB136" s="23">
        <v>0</v>
      </c>
      <c r="EC136" s="23">
        <v>1.125</v>
      </c>
      <c r="ED136" s="23">
        <v>0</v>
      </c>
      <c r="EE136" s="23">
        <v>0</v>
      </c>
      <c r="EF136" s="23">
        <v>0</v>
      </c>
      <c r="EG136" s="23">
        <v>0</v>
      </c>
      <c r="EH136" s="23">
        <v>0.625</v>
      </c>
      <c r="EI136" s="23" cm="1">
        <f t="array" ref="EI136">VLOOKUP(A136,'Opponent List'!$A1:$P137,16,FALSE)</f>
        <v>1.32461376220799</v>
      </c>
      <c r="EJ136" s="23">
        <v>1.94954402902408</v>
      </c>
    </row>
    <row r="137" ht="13.55" customHeight="1">
      <c r="A137" t="s" s="7">
        <v>128</v>
      </c>
      <c r="B137" s="22">
        <v>0</v>
      </c>
      <c r="C137" s="23">
        <v>0.875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0</v>
      </c>
      <c r="N137" s="23">
        <v>-0.875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-1.125</v>
      </c>
      <c r="U137" s="23">
        <v>0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23">
        <v>0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3">
        <v>0</v>
      </c>
      <c r="AM137" s="23">
        <v>0</v>
      </c>
      <c r="AN137" s="23">
        <v>0</v>
      </c>
      <c r="AO137" s="23">
        <v>0</v>
      </c>
      <c r="AP137" s="23">
        <v>0</v>
      </c>
      <c r="AQ137" s="23">
        <v>0</v>
      </c>
      <c r="AR137" s="23">
        <v>0</v>
      </c>
      <c r="AS137" s="23">
        <v>0</v>
      </c>
      <c r="AT137" s="23">
        <v>0</v>
      </c>
      <c r="AU137" s="23">
        <v>0</v>
      </c>
      <c r="AV137" s="23">
        <v>0</v>
      </c>
      <c r="AW137" s="23">
        <v>0</v>
      </c>
      <c r="AX137" s="23">
        <v>0</v>
      </c>
      <c r="AY137" s="23">
        <v>0</v>
      </c>
      <c r="AZ137" s="23">
        <v>0</v>
      </c>
      <c r="BA137" s="23">
        <v>0</v>
      </c>
      <c r="BB137" s="23">
        <v>0</v>
      </c>
      <c r="BC137" s="23">
        <v>0</v>
      </c>
      <c r="BD137" s="23">
        <v>0</v>
      </c>
      <c r="BE137" s="23">
        <v>0</v>
      </c>
      <c r="BF137" s="23">
        <v>0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v>0</v>
      </c>
      <c r="BQ137" s="23">
        <v>0</v>
      </c>
      <c r="BR137" s="23">
        <v>0</v>
      </c>
      <c r="BS137" s="23">
        <v>0</v>
      </c>
      <c r="BT137" s="23">
        <v>0</v>
      </c>
      <c r="BU137" s="23">
        <v>0</v>
      </c>
      <c r="BV137" s="23">
        <v>0</v>
      </c>
      <c r="BW137" s="23">
        <v>0</v>
      </c>
      <c r="BX137" s="23">
        <v>0</v>
      </c>
      <c r="BY137" s="23">
        <v>0</v>
      </c>
      <c r="BZ137" s="23">
        <v>0</v>
      </c>
      <c r="CA137" s="23">
        <v>0</v>
      </c>
      <c r="CB137" s="23">
        <v>0</v>
      </c>
      <c r="CC137" s="23">
        <v>0</v>
      </c>
      <c r="CD137" s="23">
        <v>-1.125</v>
      </c>
      <c r="CE137" s="23">
        <v>0</v>
      </c>
      <c r="CF137" s="23">
        <v>0</v>
      </c>
      <c r="CG137" s="23">
        <v>0</v>
      </c>
      <c r="CH137" s="23">
        <v>0</v>
      </c>
      <c r="CI137" s="23">
        <v>0</v>
      </c>
      <c r="CJ137" s="23">
        <v>0</v>
      </c>
      <c r="CK137" s="23">
        <v>0</v>
      </c>
      <c r="CL137" s="23">
        <v>0</v>
      </c>
      <c r="CM137" s="23">
        <v>0</v>
      </c>
      <c r="CN137" s="23">
        <v>0</v>
      </c>
      <c r="CO137" s="23">
        <v>-1.75</v>
      </c>
      <c r="CP137" s="23">
        <v>0</v>
      </c>
      <c r="CQ137" s="23">
        <v>0</v>
      </c>
      <c r="CR137" s="23">
        <v>0</v>
      </c>
      <c r="CS137" s="23">
        <v>0</v>
      </c>
      <c r="CT137" s="23">
        <v>0</v>
      </c>
      <c r="CU137" s="23">
        <v>0</v>
      </c>
      <c r="CV137" s="23">
        <v>0</v>
      </c>
      <c r="CW137" s="23">
        <v>0</v>
      </c>
      <c r="CX137" s="23">
        <v>0</v>
      </c>
      <c r="CY137" s="23">
        <v>0</v>
      </c>
      <c r="CZ137" s="23">
        <v>0</v>
      </c>
      <c r="DA137" s="23">
        <v>0</v>
      </c>
      <c r="DB137" s="23">
        <v>0</v>
      </c>
      <c r="DC137" s="23">
        <v>0</v>
      </c>
      <c r="DD137" s="23">
        <v>0</v>
      </c>
      <c r="DE137" s="23">
        <v>0</v>
      </c>
      <c r="DF137" s="23">
        <v>0</v>
      </c>
      <c r="DG137" s="23">
        <v>0</v>
      </c>
      <c r="DH137" s="23">
        <v>0</v>
      </c>
      <c r="DI137" s="23">
        <v>0</v>
      </c>
      <c r="DJ137" s="23">
        <v>0</v>
      </c>
      <c r="DK137" s="23">
        <v>0</v>
      </c>
      <c r="DL137" s="23">
        <v>0</v>
      </c>
      <c r="DM137" s="23">
        <v>0</v>
      </c>
      <c r="DN137" s="23">
        <v>0</v>
      </c>
      <c r="DO137" s="23">
        <v>0.875</v>
      </c>
      <c r="DP137" s="23">
        <v>0</v>
      </c>
      <c r="DQ137" s="23">
        <v>0</v>
      </c>
      <c r="DR137" s="23">
        <v>0</v>
      </c>
      <c r="DS137" s="23">
        <v>0</v>
      </c>
      <c r="DT137" s="23">
        <v>0</v>
      </c>
      <c r="DU137" s="23">
        <v>0</v>
      </c>
      <c r="DV137" s="23">
        <v>0</v>
      </c>
      <c r="DW137" s="23">
        <v>0</v>
      </c>
      <c r="DX137" s="23">
        <v>0</v>
      </c>
      <c r="DY137" s="23">
        <v>0</v>
      </c>
      <c r="DZ137" s="23">
        <v>0</v>
      </c>
      <c r="EA137" s="23">
        <v>0</v>
      </c>
      <c r="EB137" s="23">
        <v>0</v>
      </c>
      <c r="EC137" s="23">
        <v>0</v>
      </c>
      <c r="ED137" s="23">
        <v>0</v>
      </c>
      <c r="EE137" s="23">
        <v>0</v>
      </c>
      <c r="EF137" s="23">
        <v>0</v>
      </c>
      <c r="EG137" s="23">
        <v>0</v>
      </c>
      <c r="EH137" s="23">
        <v>-3.125</v>
      </c>
      <c r="EI137" s="23" cm="1">
        <f t="array" ref="EI137">VLOOKUP(A137,'Opponent List'!$A1:$P137,16,FALSE)</f>
        <v>-1.59377452061356</v>
      </c>
      <c r="EJ137" s="23">
        <v>-4.71872907684507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P137"/>
  <sheetViews>
    <sheetView workbookViewId="0" showGridLines="0" defaultGridColor="1"/>
  </sheetViews>
  <sheetFormatPr defaultColWidth="8.83333" defaultRowHeight="15" customHeight="1" outlineLevelRow="0" outlineLevelCol="0"/>
  <cols>
    <col min="1" max="16" width="8.85156" style="24" customWidth="1"/>
    <col min="17" max="16384" width="8.85156" style="24" customWidth="1"/>
  </cols>
  <sheetData>
    <row r="1" ht="13.55" customHeight="1">
      <c r="A1" t="s" s="7">
        <v>280</v>
      </c>
      <c r="B1" t="s" s="7">
        <v>281</v>
      </c>
      <c r="C1" t="s" s="7">
        <v>282</v>
      </c>
      <c r="D1" t="s" s="7">
        <v>283</v>
      </c>
      <c r="E1" t="s" s="7">
        <v>284</v>
      </c>
      <c r="F1" t="s" s="7">
        <v>285</v>
      </c>
      <c r="G1" t="s" s="7">
        <v>286</v>
      </c>
      <c r="H1" t="s" s="7">
        <v>287</v>
      </c>
      <c r="I1" t="s" s="7">
        <v>288</v>
      </c>
      <c r="J1" t="s" s="7">
        <v>289</v>
      </c>
      <c r="K1" t="s" s="7">
        <v>290</v>
      </c>
      <c r="L1" t="s" s="7">
        <v>291</v>
      </c>
      <c r="M1" t="s" s="7">
        <v>292</v>
      </c>
      <c r="N1" t="s" s="7">
        <v>293</v>
      </c>
      <c r="O1" t="s" s="7">
        <v>294</v>
      </c>
      <c r="P1" t="s" s="7">
        <v>295</v>
      </c>
    </row>
    <row r="2" ht="13.55" customHeight="1">
      <c r="A2" t="s" s="25">
        <v>86</v>
      </c>
      <c r="B2" t="s" s="25">
        <v>33</v>
      </c>
      <c r="C2" s="21" cm="1">
        <f t="array" ref="C2">VLOOKUP(B2,'Rating Lookup'!$A2:$B138,2,FALSE)</f>
        <v>3.47491832350742</v>
      </c>
      <c r="D2" t="s" s="25">
        <v>78</v>
      </c>
      <c r="E2" s="21" cm="1">
        <f t="array" ref="E2">VLOOKUP(D2,'Rating Lookup'!$A2:$B138,2,FALSE)</f>
        <v>-0.7722108176382</v>
      </c>
      <c r="F2" t="s" s="25">
        <v>94</v>
      </c>
      <c r="G2" s="21" cm="1">
        <f t="array" ref="G2">VLOOKUP(F2,'Rating Lookup'!$A2:$B138,2,FALSE)</f>
        <v>-1.91272420043442</v>
      </c>
      <c r="H2" t="s" s="25">
        <v>139</v>
      </c>
      <c r="I2" s="21" cm="1">
        <f t="array" ref="I2">VLOOKUP(H2,'Rating Lookup'!$A2:$B138,2,FALSE)</f>
        <v>-7.85541016002437</v>
      </c>
      <c r="J2" t="s" s="25">
        <v>113</v>
      </c>
      <c r="K2" s="21" cm="1">
        <f t="array" ref="K2">VLOOKUP(J2,'Rating Lookup'!$A2:$B138,2,FALSE)</f>
        <v>-3.33099720766006</v>
      </c>
      <c r="L2" t="s" s="25">
        <v>5</v>
      </c>
      <c r="M2" s="21" cm="1">
        <f t="array" ref="M2">VLOOKUP(L2,'Rating Lookup'!$A2:$B138,2,FALSE)</f>
        <v>7.75371529836661</v>
      </c>
      <c r="N2" t="s" s="25">
        <v>85</v>
      </c>
      <c r="O2" s="21" cm="1">
        <f t="array" ref="O2">VLOOKUP(N2,'Rating Lookup'!$A2:$B138,2,FALSE)</f>
        <v>-1.16950431848081</v>
      </c>
      <c r="P2" s="21" cm="1">
        <f t="array" ref="P2">AVERAGE(C2,E2,G2,I2,K2,M2,O2)</f>
        <v>-0.544601868909119</v>
      </c>
    </row>
    <row r="3" ht="13.55" customHeight="1">
      <c r="A3" t="s" s="26">
        <v>136</v>
      </c>
      <c r="B3" t="s" s="26">
        <v>41</v>
      </c>
      <c r="C3" s="23" cm="1">
        <f t="array" ref="C3">VLOOKUP(B3,'Rating Lookup'!$A2:$B138,2,FALSE)</f>
        <v>2.77908909331727</v>
      </c>
      <c r="D3" t="s" s="26">
        <v>83</v>
      </c>
      <c r="E3" s="23" cm="1">
        <f t="array" ref="E3">VLOOKUP(D3,'Rating Lookup'!$A2:$B138,2,FALSE)</f>
        <v>-1.04226754877399</v>
      </c>
      <c r="F3" t="s" s="26">
        <v>87</v>
      </c>
      <c r="G3" s="23" cm="1">
        <f t="array" ref="G3">VLOOKUP(F3,'Rating Lookup'!$A2:$B138,2,FALSE)</f>
        <v>-1.20871388306861</v>
      </c>
      <c r="H3" t="s" s="26">
        <v>99</v>
      </c>
      <c r="I3" s="23" cm="1">
        <f t="array" ref="I3">VLOOKUP(H3,'Rating Lookup'!$A2:$B138,2,FALSE)</f>
        <v>-2.17781183627959</v>
      </c>
      <c r="J3" t="s" s="26">
        <v>93</v>
      </c>
      <c r="K3" s="23" cm="1">
        <f t="array" ref="K3">VLOOKUP(J3,'Rating Lookup'!$A2:$B138,2,FALSE)</f>
        <v>-1.89357854452855</v>
      </c>
      <c r="L3" t="s" s="26">
        <v>25</v>
      </c>
      <c r="M3" s="23" cm="1">
        <f t="array" ref="M3">VLOOKUP(L3,'Rating Lookup'!$A2:$B138,2,FALSE)</f>
        <v>4.26570683475592</v>
      </c>
      <c r="N3" t="s" s="26">
        <v>128</v>
      </c>
      <c r="O3" s="23" cm="1">
        <f t="array" ref="O3">VLOOKUP(N3,'Rating Lookup'!$A2:$B138,2,FALSE)</f>
        <v>-4.71872907684507</v>
      </c>
      <c r="P3" s="23" cm="1">
        <f t="array" ref="P3">AVERAGE(C3,E3,G3,I3,K3,M3,O3)</f>
        <v>-0.57090070877466</v>
      </c>
    </row>
    <row r="4" ht="13.55" customHeight="1">
      <c r="A4" t="s" s="26">
        <v>17</v>
      </c>
      <c r="B4" t="s" s="26">
        <v>70</v>
      </c>
      <c r="C4" s="23" cm="1">
        <f t="array" ref="C4">VLOOKUP(B4,'Rating Lookup'!$A2:$B138,2,FALSE)</f>
        <v>0.14360151048081</v>
      </c>
      <c r="D4" t="s" s="26">
        <v>112</v>
      </c>
      <c r="E4" s="23" cm="1">
        <f t="array" ref="E4">VLOOKUP(D4,'Rating Lookup'!$A2:$B138,2,FALSE)</f>
        <v>-3.30058825776286</v>
      </c>
      <c r="F4" t="s" s="26">
        <v>88</v>
      </c>
      <c r="G4" s="23" cm="1">
        <f t="array" ref="G4">VLOOKUP(F4,'Rating Lookup'!$A2:$B138,2,FALSE)</f>
        <v>-1.35956232001684</v>
      </c>
      <c r="H4" t="s" s="26">
        <v>24</v>
      </c>
      <c r="I4" s="23" cm="1">
        <f t="array" ref="I4">VLOOKUP(H4,'Rating Lookup'!$A2:$B138,2,FALSE)</f>
        <v>4.31123264075225</v>
      </c>
      <c r="J4" t="s" s="26">
        <v>7</v>
      </c>
      <c r="K4" s="23" cm="1">
        <f t="array" ref="K4">VLOOKUP(J4,'Rating Lookup'!$A2:$B138,2,FALSE)</f>
        <v>6.81991318008486</v>
      </c>
      <c r="L4" t="s" s="26">
        <v>139</v>
      </c>
      <c r="M4" s="23" cm="1">
        <f t="array" ref="M4">VLOOKUP(L4,'Rating Lookup'!$A2:$B138,2,FALSE)</f>
        <v>-7.85541016002437</v>
      </c>
      <c r="N4" t="s" s="26">
        <v>15</v>
      </c>
      <c r="O4" s="23" cm="1">
        <f t="array" ref="O4">VLOOKUP(N4,'Rating Lookup'!$A2:$B138,2,FALSE)</f>
        <v>5.46568762547505</v>
      </c>
      <c r="P4" s="23" cm="1">
        <f t="array" ref="P4">AVERAGE(C4,E4,G4,I4,K4,M4,O4)</f>
        <v>0.603553459855557</v>
      </c>
    </row>
    <row r="5" ht="13.55" customHeight="1">
      <c r="A5" t="s" s="26">
        <v>122</v>
      </c>
      <c r="B5" t="s" s="26">
        <v>88</v>
      </c>
      <c r="C5" s="23" cm="1">
        <f t="array" ref="C5">VLOOKUP(B5,'Rating Lookup'!$A2:$B138,2,FALSE)</f>
        <v>-1.35956232001684</v>
      </c>
      <c r="D5" t="s" s="26">
        <v>54</v>
      </c>
      <c r="E5" s="23" cm="1">
        <f t="array" ref="E5">VLOOKUP(D5,'Rating Lookup'!$A2:$B138,2,FALSE)</f>
        <v>1.67670283281755</v>
      </c>
      <c r="F5" t="s" s="26">
        <v>38</v>
      </c>
      <c r="G5" s="23" cm="1">
        <f t="array" ref="G5">VLOOKUP(F5,'Rating Lookup'!$A2:$B138,2,FALSE)</f>
        <v>3.19465323054226</v>
      </c>
      <c r="H5" t="s" s="26">
        <v>57</v>
      </c>
      <c r="I5" s="23" cm="1">
        <f t="array" ref="I5">VLOOKUP(H5,'Rating Lookup'!$A2:$B138,2,FALSE)</f>
        <v>1.60467129115595</v>
      </c>
      <c r="J5" t="s" s="26">
        <v>30</v>
      </c>
      <c r="K5" s="23" cm="1">
        <f t="array" ref="K5">VLOOKUP(J5,'Rating Lookup'!$A2:$B138,2,FALSE)</f>
        <v>3.69943647894699</v>
      </c>
      <c r="L5" t="s" s="26">
        <v>102</v>
      </c>
      <c r="M5" s="23" cm="1">
        <f t="array" ref="M5">VLOOKUP(L5,'Rating Lookup'!$A2:$B138,2,FALSE)</f>
        <v>-2.53885665448911</v>
      </c>
      <c r="N5" t="s" s="26">
        <v>105</v>
      </c>
      <c r="O5" s="23" cm="1">
        <f t="array" ref="O5">VLOOKUP(N5,'Rating Lookup'!$A2:$B138,2,FALSE)</f>
        <v>-2.70831005953648</v>
      </c>
      <c r="P5" s="23" cm="1">
        <f t="array" ref="P5">AVERAGE(C5,E5,G5,I5,K5,M5,O5)</f>
        <v>0.509819257060046</v>
      </c>
    </row>
    <row r="6" ht="13.55" customHeight="1">
      <c r="A6" t="s" s="26">
        <v>52</v>
      </c>
      <c r="B6" t="s" s="26">
        <v>45</v>
      </c>
      <c r="C6" s="23" cm="1">
        <f t="array" ref="C6">VLOOKUP(B6,'Rating Lookup'!$A2:$B138,2,FALSE)</f>
        <v>2.3773723661694</v>
      </c>
      <c r="D6" t="s" s="26">
        <v>5</v>
      </c>
      <c r="E6" s="23" cm="1">
        <f t="array" ref="E6">VLOOKUP(D6,'Rating Lookup'!$A2:$B138,2,FALSE)</f>
        <v>7.75371529836661</v>
      </c>
      <c r="F6" t="s" s="26">
        <v>97</v>
      </c>
      <c r="G6" s="23" cm="1">
        <f t="array" ref="G6">VLOOKUP(F6,'Rating Lookup'!$A2:$B138,2,FALSE)</f>
        <v>-2.05013712658942</v>
      </c>
      <c r="H6" t="s" s="26">
        <v>106</v>
      </c>
      <c r="I6" s="23" cm="1">
        <f t="array" ref="I6">VLOOKUP(H6,'Rating Lookup'!$A2:$B138,2,FALSE)</f>
        <v>-2.74762863241334</v>
      </c>
      <c r="J6" t="s" s="26">
        <v>22</v>
      </c>
      <c r="K6" s="23" cm="1">
        <f t="array" ref="K6">VLOOKUP(J6,'Rating Lookup'!$A2:$B138,2,FALSE)</f>
        <v>4.55887600155886</v>
      </c>
      <c r="L6" t="s" s="26">
        <v>27</v>
      </c>
      <c r="M6" s="23" cm="1">
        <f t="array" ref="M6">VLOOKUP(L6,'Rating Lookup'!$A2:$B138,2,FALSE)</f>
        <v>4.00435455050306</v>
      </c>
      <c r="N6" t="s" s="26">
        <v>30</v>
      </c>
      <c r="O6" s="23" cm="1">
        <f t="array" ref="O6">VLOOKUP(N6,'Rating Lookup'!$A2:$B138,2,FALSE)</f>
        <v>3.69943647894699</v>
      </c>
      <c r="P6" s="23" cm="1">
        <f t="array" ref="P6">AVERAGE(C6,E6,G6,I6,K6,M6,O6)</f>
        <v>2.51371270522031</v>
      </c>
    </row>
    <row r="7" ht="13.55" customHeight="1">
      <c r="A7" t="s" s="26">
        <v>46</v>
      </c>
      <c r="B7" t="s" s="26">
        <v>13</v>
      </c>
      <c r="C7" s="23" cm="1">
        <f t="array" ref="C7">VLOOKUP(B7,'Rating Lookup'!$A2:$B138,2,FALSE)</f>
        <v>5.59129696346212</v>
      </c>
      <c r="D7" t="s" s="26">
        <v>125</v>
      </c>
      <c r="E7" s="23" cm="1">
        <f t="array" ref="E7">VLOOKUP(D7,'Rating Lookup'!$A2:$B138,2,FALSE)</f>
        <v>-4.34735517155842</v>
      </c>
      <c r="F7" t="s" s="26">
        <v>70</v>
      </c>
      <c r="G7" s="23" cm="1">
        <f t="array" ref="G7">VLOOKUP(F7,'Rating Lookup'!$A2:$B138,2,FALSE)</f>
        <v>0.14360151048081</v>
      </c>
      <c r="H7" t="s" s="26">
        <v>73</v>
      </c>
      <c r="I7" s="23" cm="1">
        <f t="array" ref="I7">VLOOKUP(H7,'Rating Lookup'!$A2:$B138,2,FALSE)</f>
        <v>-0.42667333775956</v>
      </c>
      <c r="J7" t="s" s="26">
        <v>102</v>
      </c>
      <c r="K7" s="23" cm="1">
        <f t="array" ref="K7">VLOOKUP(J7,'Rating Lookup'!$A2:$B138,2,FALSE)</f>
        <v>-2.53885665448911</v>
      </c>
      <c r="L7" t="s" s="26">
        <v>29</v>
      </c>
      <c r="M7" s="23" cm="1">
        <f t="array" ref="M7">VLOOKUP(L7,'Rating Lookup'!$A2:$B138,2,FALSE)</f>
        <v>3.90358287595508</v>
      </c>
      <c r="N7" t="s" s="26">
        <v>14</v>
      </c>
      <c r="O7" s="23" cm="1">
        <f t="array" ref="O7">VLOOKUP(N7,'Rating Lookup'!$A2:$B138,2,FALSE)</f>
        <v>5.51360480483848</v>
      </c>
      <c r="P7" s="23" cm="1">
        <f t="array" ref="P7">AVERAGE(C7,E7,G7,I7,K7,M7,O7)</f>
        <v>1.11988585584706</v>
      </c>
    </row>
    <row r="8" ht="13.55" customHeight="1">
      <c r="A8" t="s" s="26">
        <v>77</v>
      </c>
      <c r="B8" t="s" s="26">
        <v>134</v>
      </c>
      <c r="C8" s="23" cm="1">
        <f t="array" ref="C8">VLOOKUP(B8,'Rating Lookup'!$A2:$B138,2,FALSE)</f>
        <v>-5.69069429802854</v>
      </c>
      <c r="D8" t="s" s="26">
        <v>61</v>
      </c>
      <c r="E8" s="23" cm="1">
        <f t="array" ref="E8">VLOOKUP(D8,'Rating Lookup'!$A2:$B138,2,FALSE)</f>
        <v>0.7599191252438799</v>
      </c>
      <c r="F8" t="s" s="26">
        <v>45</v>
      </c>
      <c r="G8" s="23" cm="1">
        <f t="array" ref="G8">VLOOKUP(F8,'Rating Lookup'!$A2:$B138,2,FALSE)</f>
        <v>2.3773723661694</v>
      </c>
      <c r="H8" t="s" s="26">
        <v>120</v>
      </c>
      <c r="I8" s="23" cm="1">
        <f t="array" ref="I8">VLOOKUP(H8,'Rating Lookup'!$A2:$B138,2,FALSE)</f>
        <v>-4.02321925506876</v>
      </c>
      <c r="J8" t="s" s="26">
        <v>78</v>
      </c>
      <c r="K8" s="23" cm="1">
        <f t="array" ref="K8">VLOOKUP(J8,'Rating Lookup'!$A2:$B138,2,FALSE)</f>
        <v>-0.7722108176382</v>
      </c>
      <c r="L8" t="s" s="26">
        <v>97</v>
      </c>
      <c r="M8" s="23" cm="1">
        <f t="array" ref="M8">VLOOKUP(L8,'Rating Lookup'!$A2:$B138,2,FALSE)</f>
        <v>-2.05013712658942</v>
      </c>
      <c r="N8" t="s" s="26">
        <v>120</v>
      </c>
      <c r="O8" s="23" cm="1">
        <f t="array" ref="O8">VLOOKUP(N8,'Rating Lookup'!$A2:$B138,2,FALSE)</f>
        <v>-4.02321925506876</v>
      </c>
      <c r="P8" s="23" cm="1">
        <f t="array" ref="P8">AVERAGE(C8,E8,G8,I8,K8,M8,O8)</f>
        <v>-1.91745560871149</v>
      </c>
    </row>
    <row r="9" ht="13.55" customHeight="1">
      <c r="A9" t="s" s="26">
        <v>101</v>
      </c>
      <c r="B9" t="s" s="26">
        <v>38</v>
      </c>
      <c r="C9" s="23" cm="1">
        <f t="array" ref="C9">VLOOKUP(B9,'Rating Lookup'!$A2:$B138,2,FALSE)</f>
        <v>3.19465323054226</v>
      </c>
      <c r="D9" t="s" s="26">
        <v>56</v>
      </c>
      <c r="E9" s="23" cm="1">
        <f t="array" ref="E9">VLOOKUP(D9,'Rating Lookup'!$A2:$B138,2,FALSE)</f>
        <v>1.60624122091741</v>
      </c>
      <c r="F9" t="s" s="26">
        <v>18</v>
      </c>
      <c r="G9" s="23" cm="1">
        <f t="array" ref="G9">VLOOKUP(F9,'Rating Lookup'!$A2:$B138,2,FALSE)</f>
        <v>5.0922019441117</v>
      </c>
      <c r="H9" t="s" s="26">
        <v>5</v>
      </c>
      <c r="I9" s="23" cm="1">
        <f t="array" ref="I9">VLOOKUP(H9,'Rating Lookup'!$A2:$B138,2,FALSE)</f>
        <v>7.75371529836661</v>
      </c>
      <c r="J9" t="s" s="26">
        <v>28</v>
      </c>
      <c r="K9" s="23" cm="1">
        <f t="array" ref="K9">VLOOKUP(J9,'Rating Lookup'!$A2:$B138,2,FALSE)</f>
        <v>3.94267847649009</v>
      </c>
      <c r="L9" t="s" s="26">
        <v>26</v>
      </c>
      <c r="M9" s="23" cm="1">
        <f t="array" ref="M9">VLOOKUP(L9,'Rating Lookup'!$A2:$B138,2,FALSE)</f>
        <v>4.01425721966897</v>
      </c>
      <c r="N9" t="s" s="26">
        <v>35</v>
      </c>
      <c r="O9" s="23" cm="1">
        <f t="array" ref="O9">VLOOKUP(N9,'Rating Lookup'!$A2:$B138,2,FALSE)</f>
        <v>3.31512010809599</v>
      </c>
      <c r="P9" s="23" cm="1">
        <f t="array" ref="P9">AVERAGE(C9,E9,G9,I9,K9,M9,O9)</f>
        <v>4.13126678545615</v>
      </c>
    </row>
    <row r="10" ht="13.55" customHeight="1">
      <c r="A10" t="s" s="26">
        <v>75</v>
      </c>
      <c r="B10" t="s" s="26">
        <v>25</v>
      </c>
      <c r="C10" s="23" cm="1">
        <f t="array" ref="C10">VLOOKUP(B10,'Rating Lookup'!$A2:$B138,2,FALSE)</f>
        <v>4.26570683475592</v>
      </c>
      <c r="D10" t="s" s="26">
        <v>65</v>
      </c>
      <c r="E10" s="23" cm="1">
        <f t="array" ref="E10">VLOOKUP(D10,'Rating Lookup'!$A2:$B138,2,FALSE)</f>
        <v>0.5243959583097469</v>
      </c>
      <c r="F10" t="s" s="26">
        <v>140</v>
      </c>
      <c r="G10" s="23" cm="1">
        <f t="array" ref="G10">VLOOKUP(F10,'Rating Lookup'!$A2:$B138,2,FALSE)</f>
        <v>-9.31654300434057</v>
      </c>
      <c r="H10" t="s" s="26">
        <v>19</v>
      </c>
      <c r="I10" s="23" cm="1">
        <f t="array" ref="I10">VLOOKUP(H10,'Rating Lookup'!$A2:$B138,2,FALSE)</f>
        <v>4.5934517710258</v>
      </c>
      <c r="J10" t="s" s="26">
        <v>139</v>
      </c>
      <c r="K10" s="23" cm="1">
        <f t="array" ref="K10">VLOOKUP(J10,'Rating Lookup'!$A2:$B138,2,FALSE)</f>
        <v>-7.85541016002437</v>
      </c>
      <c r="L10" t="s" s="26">
        <v>33</v>
      </c>
      <c r="M10" s="23" cm="1">
        <f t="array" ref="M10">VLOOKUP(L10,'Rating Lookup'!$A2:$B138,2,FALSE)</f>
        <v>3.47491832350742</v>
      </c>
      <c r="N10" t="s" s="26">
        <v>137</v>
      </c>
      <c r="O10" s="23" cm="1">
        <f t="array" ref="O10">VLOOKUP(N10,'Rating Lookup'!$A2:$B138,2,FALSE)</f>
        <v>-6.85729246652121</v>
      </c>
      <c r="P10" s="23" cm="1">
        <f t="array" ref="P10">AVERAGE(C10,E10,G10,I10,K10,M10,O10)</f>
        <v>-1.59582467761247</v>
      </c>
    </row>
    <row r="11" ht="13.55" customHeight="1">
      <c r="A11" t="s" s="26">
        <v>44</v>
      </c>
      <c r="B11" t="s" s="26">
        <v>96</v>
      </c>
      <c r="C11" s="23" cm="1">
        <f t="array" ref="C11">VLOOKUP(B11,'Rating Lookup'!$A2:$B138,2,FALSE)</f>
        <v>-1.92985341790185</v>
      </c>
      <c r="D11" t="s" s="26">
        <v>73</v>
      </c>
      <c r="E11" s="23" cm="1">
        <f t="array" ref="E11">VLOOKUP(D11,'Rating Lookup'!$A2:$B138,2,FALSE)</f>
        <v>-0.42667333775956</v>
      </c>
      <c r="F11" t="s" s="26">
        <v>108</v>
      </c>
      <c r="G11" s="23" cm="1">
        <f t="array" ref="G11">VLOOKUP(F11,'Rating Lookup'!$A2:$B138,2,FALSE)</f>
        <v>-2.91762373109868</v>
      </c>
      <c r="H11" t="s" s="26">
        <v>134</v>
      </c>
      <c r="I11" s="23" cm="1">
        <f t="array" ref="I11">VLOOKUP(H11,'Rating Lookup'!$A2:$B138,2,FALSE)</f>
        <v>-5.69069429802854</v>
      </c>
      <c r="J11" t="s" s="26">
        <v>29</v>
      </c>
      <c r="K11" s="23" cm="1">
        <f t="array" ref="K11">VLOOKUP(J11,'Rating Lookup'!$A2:$B138,2,FALSE)</f>
        <v>3.90358287595508</v>
      </c>
      <c r="L11" t="s" s="26">
        <v>123</v>
      </c>
      <c r="M11" s="23" cm="1">
        <f t="array" ref="M11">VLOOKUP(L11,'Rating Lookup'!$A2:$B138,2,FALSE)</f>
        <v>-4.19472030187331</v>
      </c>
      <c r="N11" t="s" s="26">
        <v>106</v>
      </c>
      <c r="O11" s="23" cm="1">
        <f t="array" ref="O11">VLOOKUP(N11,'Rating Lookup'!$A2:$B138,2,FALSE)</f>
        <v>-2.74762863241334</v>
      </c>
      <c r="P11" s="23" cm="1">
        <f t="array" ref="P11">AVERAGE(C11,E11,G11,I11,K11,M11,O11)</f>
        <v>-2.00051583473146</v>
      </c>
    </row>
    <row r="12" ht="13.55" customHeight="1">
      <c r="A12" t="s" s="26">
        <v>56</v>
      </c>
      <c r="B12" t="s" s="26">
        <v>133</v>
      </c>
      <c r="C12" s="23" cm="1">
        <f t="array" ref="C12">VLOOKUP(B12,'Rating Lookup'!$A2:$B138,2,FALSE)</f>
        <v>-5.55857628514641</v>
      </c>
      <c r="D12" t="s" s="26">
        <v>101</v>
      </c>
      <c r="E12" s="23" cm="1">
        <f t="array" ref="E12">VLOOKUP(D12,'Rating Lookup'!$A2:$B138,2,FALSE)</f>
        <v>-2.49383104131239</v>
      </c>
      <c r="F12" t="s" s="26">
        <v>129</v>
      </c>
      <c r="G12" s="23" cm="1">
        <f t="array" ref="G12">VLOOKUP(F12,'Rating Lookup'!$A2:$B138,2,FALSE)</f>
        <v>-4.82358776660641</v>
      </c>
      <c r="H12" t="s" s="26">
        <v>105</v>
      </c>
      <c r="I12" s="23" cm="1">
        <f t="array" ref="I12">VLOOKUP(H12,'Rating Lookup'!$A2:$B138,2,FALSE)</f>
        <v>-2.70831005953648</v>
      </c>
      <c r="J12" t="s" s="26">
        <v>5</v>
      </c>
      <c r="K12" s="23" cm="1">
        <f t="array" ref="K12">VLOOKUP(J12,'Rating Lookup'!$A2:$B138,2,FALSE)</f>
        <v>7.75371529836661</v>
      </c>
      <c r="L12" t="s" s="26">
        <v>43</v>
      </c>
      <c r="M12" s="23" cm="1">
        <f t="array" ref="M12">VLOOKUP(L12,'Rating Lookup'!$A2:$B138,2,FALSE)</f>
        <v>2.62817334380147</v>
      </c>
      <c r="N12" t="s" s="26">
        <v>96</v>
      </c>
      <c r="O12" s="23" cm="1">
        <f t="array" ref="O12">VLOOKUP(N12,'Rating Lookup'!$A2:$B138,2,FALSE)</f>
        <v>-1.92985341790185</v>
      </c>
      <c r="P12" s="23" cm="1">
        <f t="array" ref="P12">AVERAGE(C12,E12,G12,I12,K12,M12,O12)</f>
        <v>-1.01889570404792</v>
      </c>
    </row>
    <row r="13" ht="13.55" customHeight="1">
      <c r="A13" t="s" s="26">
        <v>139</v>
      </c>
      <c r="B13" t="s" s="26">
        <v>61</v>
      </c>
      <c r="C13" s="23" cm="1">
        <f t="array" ref="C13">VLOOKUP(B13,'Rating Lookup'!$A2:$B138,2,FALSE)</f>
        <v>0.7599191252438799</v>
      </c>
      <c r="D13" t="s" s="26">
        <v>98</v>
      </c>
      <c r="E13" s="23" cm="1">
        <f t="array" ref="E13">VLOOKUP(D13,'Rating Lookup'!$A2:$B138,2,FALSE)</f>
        <v>-2.14818495614045</v>
      </c>
      <c r="F13" t="s" s="26">
        <v>137</v>
      </c>
      <c r="G13" s="23" cm="1">
        <f t="array" ref="G13">VLOOKUP(F13,'Rating Lookup'!$A2:$B138,2,FALSE)</f>
        <v>-6.85729246652121</v>
      </c>
      <c r="H13" t="s" s="26">
        <v>86</v>
      </c>
      <c r="I13" s="23" cm="1">
        <f t="array" ref="I13">VLOOKUP(H13,'Rating Lookup'!$A2:$B138,2,FALSE)</f>
        <v>-1.16960524424737</v>
      </c>
      <c r="J13" t="s" s="26">
        <v>75</v>
      </c>
      <c r="K13" s="23" cm="1">
        <f t="array" ref="K13">VLOOKUP(J13,'Rating Lookup'!$A2:$B138,2,FALSE)</f>
        <v>-0.47110027727993</v>
      </c>
      <c r="L13" t="s" s="26">
        <v>17</v>
      </c>
      <c r="M13" s="23" cm="1">
        <f t="array" ref="M13">VLOOKUP(L13,'Rating Lookup'!$A2:$B138,2,FALSE)</f>
        <v>5.22830415963158</v>
      </c>
      <c r="N13" t="s" s="26">
        <v>119</v>
      </c>
      <c r="O13" s="23" cm="1">
        <f t="array" ref="O13">VLOOKUP(N13,'Rating Lookup'!$A2:$B138,2,FALSE)</f>
        <v>-3.95691937561155</v>
      </c>
      <c r="P13" s="23" cm="1">
        <f t="array" ref="P13">AVERAGE(C13,E13,G13,I13,K13,M13,O13)</f>
        <v>-1.23069700498929</v>
      </c>
    </row>
    <row r="14" ht="13.55" customHeight="1">
      <c r="A14" t="s" s="26">
        <v>102</v>
      </c>
      <c r="B14" t="s" s="26">
        <v>138</v>
      </c>
      <c r="C14" s="23" cm="1">
        <f t="array" ref="C14">VLOOKUP(B14,'Rating Lookup'!$A2:$B138,2,FALSE)</f>
        <v>-7.42780318353212</v>
      </c>
      <c r="D14" t="s" s="26">
        <v>41</v>
      </c>
      <c r="E14" s="23" cm="1">
        <f t="array" ref="E14">VLOOKUP(D14,'Rating Lookup'!$A2:$B138,2,FALSE)</f>
        <v>2.77908909331727</v>
      </c>
      <c r="F14" t="s" s="26">
        <v>58</v>
      </c>
      <c r="G14" s="23" cm="1">
        <f t="array" ref="G14">VLOOKUP(F14,'Rating Lookup'!$A2:$B138,2,FALSE)</f>
        <v>1.46004862122864</v>
      </c>
      <c r="H14" t="s" s="26">
        <v>128</v>
      </c>
      <c r="I14" s="23" cm="1">
        <f t="array" ref="I14">VLOOKUP(H14,'Rating Lookup'!$A2:$B138,2,FALSE)</f>
        <v>-4.71872907684507</v>
      </c>
      <c r="J14" t="s" s="26">
        <v>46</v>
      </c>
      <c r="K14" s="23" cm="1">
        <f t="array" ref="K14">VLOOKUP(J14,'Rating Lookup'!$A2:$B138,2,FALSE)</f>
        <v>2.24485292723666</v>
      </c>
      <c r="L14" t="s" s="26">
        <v>122</v>
      </c>
      <c r="M14" s="23" cm="1">
        <f t="array" ref="M14">VLOOKUP(L14,'Rating Lookup'!$A2:$B138,2,FALSE)</f>
        <v>-4.1152424920869</v>
      </c>
      <c r="N14" t="s" s="26">
        <v>91</v>
      </c>
      <c r="O14" s="23" cm="1">
        <f t="array" ref="O14">VLOOKUP(N14,'Rating Lookup'!$A2:$B138,2,FALSE)</f>
        <v>-1.86915335849158</v>
      </c>
      <c r="P14" s="23" cm="1">
        <f t="array" ref="P14">AVERAGE(C14,E14,G14,I14,K14,M14,O14)</f>
        <v>-1.66384820988187</v>
      </c>
    </row>
    <row r="15" ht="13.55" customHeight="1">
      <c r="A15" t="s" s="26">
        <v>62</v>
      </c>
      <c r="B15" t="s" s="26">
        <v>35</v>
      </c>
      <c r="C15" s="23" cm="1">
        <f t="array" ref="C15">VLOOKUP(B15,'Rating Lookup'!$A2:$B138,2,FALSE)</f>
        <v>3.31512010809599</v>
      </c>
      <c r="D15" t="s" s="26">
        <v>40</v>
      </c>
      <c r="E15" s="23" cm="1">
        <f t="array" ref="E15">VLOOKUP(D15,'Rating Lookup'!$A2:$B138,2,FALSE)</f>
        <v>2.81548972381729</v>
      </c>
      <c r="F15" t="s" s="26">
        <v>79</v>
      </c>
      <c r="G15" s="23" cm="1">
        <f t="array" ref="G15">VLOOKUP(F15,'Rating Lookup'!$A2:$B138,2,FALSE)</f>
        <v>-0.836360098479986</v>
      </c>
      <c r="H15" t="s" s="26">
        <v>22</v>
      </c>
      <c r="I15" s="23" cm="1">
        <f t="array" ref="I15">VLOOKUP(H15,'Rating Lookup'!$A2:$B138,2,FALSE)</f>
        <v>4.55887600155886</v>
      </c>
      <c r="J15" t="s" s="26">
        <v>70</v>
      </c>
      <c r="K15" s="23" cm="1">
        <f t="array" ref="K15">VLOOKUP(J15,'Rating Lookup'!$A2:$B138,2,FALSE)</f>
        <v>0.14360151048081</v>
      </c>
      <c r="L15" t="s" s="26">
        <v>114</v>
      </c>
      <c r="M15" s="23" cm="1">
        <f t="array" ref="M15">VLOOKUP(L15,'Rating Lookup'!$A2:$B138,2,FALSE)</f>
        <v>-3.48946206869539</v>
      </c>
      <c r="N15" t="s" s="26">
        <v>25</v>
      </c>
      <c r="O15" s="23" cm="1">
        <f t="array" ref="O15">VLOOKUP(N15,'Rating Lookup'!$A2:$B138,2,FALSE)</f>
        <v>4.26570683475592</v>
      </c>
      <c r="P15" s="23" cm="1">
        <f t="array" ref="P15">AVERAGE(C15,E15,G15,I15,K15,M15,O15)</f>
        <v>1.53899600164764</v>
      </c>
    </row>
    <row r="16" ht="13.55" customHeight="1">
      <c r="A16" t="s" s="26">
        <v>74</v>
      </c>
      <c r="B16" t="s" s="26">
        <v>108</v>
      </c>
      <c r="C16" s="23" cm="1">
        <f t="array" ref="C16">VLOOKUP(B16,'Rating Lookup'!$A2:$B138,2,FALSE)</f>
        <v>-2.91762373109868</v>
      </c>
      <c r="D16" t="s" s="26">
        <v>132</v>
      </c>
      <c r="E16" s="23" cm="1">
        <f t="array" ref="E16">VLOOKUP(D16,'Rating Lookup'!$A2:$B138,2,FALSE)</f>
        <v>-5.53252093819443</v>
      </c>
      <c r="F16" t="s" s="26">
        <v>34</v>
      </c>
      <c r="G16" s="23" cm="1">
        <f t="array" ref="G16">VLOOKUP(F16,'Rating Lookup'!$A2:$B138,2,FALSE)</f>
        <v>3.46082209671099</v>
      </c>
      <c r="H16" t="s" s="26">
        <v>37</v>
      </c>
      <c r="I16" s="23" cm="1">
        <f t="array" ref="I16">VLOOKUP(H16,'Rating Lookup'!$A2:$B138,2,FALSE)</f>
        <v>3.24335785314622</v>
      </c>
      <c r="J16" t="s" s="26">
        <v>104</v>
      </c>
      <c r="K16" s="23" cm="1">
        <f t="array" ref="K16">VLOOKUP(J16,'Rating Lookup'!$A2:$B138,2,FALSE)</f>
        <v>-2.58914252844136</v>
      </c>
      <c r="L16" t="s" s="26">
        <v>87</v>
      </c>
      <c r="M16" s="23" cm="1">
        <f t="array" ref="M16">VLOOKUP(L16,'Rating Lookup'!$A2:$B138,2,FALSE)</f>
        <v>-1.20871388306861</v>
      </c>
      <c r="N16" t="s" s="26">
        <v>118</v>
      </c>
      <c r="O16" s="23" cm="1">
        <f t="array" ref="O16">VLOOKUP(N16,'Rating Lookup'!$A2:$B138,2,FALSE)</f>
        <v>-3.83643338464872</v>
      </c>
      <c r="P16" s="23" cm="1">
        <f t="array" ref="P16">AVERAGE(C16,E16,G16,I16,K16,M16,O16)</f>
        <v>-1.34003635937066</v>
      </c>
    </row>
    <row r="17" ht="13.55" customHeight="1">
      <c r="A17" t="s" s="26">
        <v>137</v>
      </c>
      <c r="B17" t="s" s="26">
        <v>116</v>
      </c>
      <c r="C17" s="23" cm="1">
        <f t="array" ref="C17">VLOOKUP(B17,'Rating Lookup'!$A2:$B138,2,FALSE)</f>
        <v>-3.76562451732892</v>
      </c>
      <c r="D17" t="s" s="26">
        <v>68</v>
      </c>
      <c r="E17" s="23" cm="1">
        <f t="array" ref="E17">VLOOKUP(D17,'Rating Lookup'!$A2:$B138,2,FALSE)</f>
        <v>0.248638585007207</v>
      </c>
      <c r="F17" t="s" s="26">
        <v>139</v>
      </c>
      <c r="G17" s="23" cm="1">
        <f t="array" ref="G17">VLOOKUP(F17,'Rating Lookup'!$A2:$B138,2,FALSE)</f>
        <v>-7.85541016002437</v>
      </c>
      <c r="H17" t="s" s="26">
        <v>94</v>
      </c>
      <c r="I17" s="23" cm="1">
        <f t="array" ref="I17">VLOOKUP(H17,'Rating Lookup'!$A2:$B138,2,FALSE)</f>
        <v>-1.91272420043442</v>
      </c>
      <c r="J17" t="s" s="26">
        <v>81</v>
      </c>
      <c r="K17" s="23" cm="1">
        <f t="array" ref="K17">VLOOKUP(J17,'Rating Lookup'!$A2:$B138,2,FALSE)</f>
        <v>-0.88177362772117</v>
      </c>
      <c r="L17" t="s" s="26">
        <v>61</v>
      </c>
      <c r="M17" s="23" cm="1">
        <f t="array" ref="M17">VLOOKUP(L17,'Rating Lookup'!$A2:$B138,2,FALSE)</f>
        <v>0.7599191252438799</v>
      </c>
      <c r="N17" t="s" s="26">
        <v>75</v>
      </c>
      <c r="O17" s="23" cm="1">
        <f t="array" ref="O17">VLOOKUP(N17,'Rating Lookup'!$A2:$B138,2,FALSE)</f>
        <v>-0.47110027727993</v>
      </c>
      <c r="P17" s="23" cm="1">
        <f t="array" ref="P17">AVERAGE(C17,E17,G17,I17,K17,M17,O17)</f>
        <v>-1.98258215321967</v>
      </c>
    </row>
    <row r="18" ht="13.55" customHeight="1">
      <c r="A18" t="s" s="26">
        <v>48</v>
      </c>
      <c r="B18" t="s" s="26">
        <v>50</v>
      </c>
      <c r="C18" s="23" cm="1">
        <f t="array" ref="C18">VLOOKUP(B18,'Rating Lookup'!$A2:$B138,2,FALSE)</f>
        <v>1.94954402902408</v>
      </c>
      <c r="D18" t="s" s="26">
        <v>113</v>
      </c>
      <c r="E18" s="23" cm="1">
        <f t="array" ref="E18">VLOOKUP(D18,'Rating Lookup'!$A2:$B138,2,FALSE)</f>
        <v>-3.33099720766006</v>
      </c>
      <c r="F18" t="s" s="26">
        <v>104</v>
      </c>
      <c r="G18" s="23" cm="1">
        <f t="array" ref="G18">VLOOKUP(F18,'Rating Lookup'!$A2:$B138,2,FALSE)</f>
        <v>-2.58914252844136</v>
      </c>
      <c r="H18" t="s" s="26">
        <v>6</v>
      </c>
      <c r="I18" s="23" cm="1">
        <f t="array" ref="I18">VLOOKUP(H18,'Rating Lookup'!$A2:$B138,2,FALSE)</f>
        <v>6.89188674772828</v>
      </c>
      <c r="J18" t="s" s="26">
        <v>83</v>
      </c>
      <c r="K18" s="23" cm="1">
        <f t="array" ref="K18">VLOOKUP(J18,'Rating Lookup'!$A2:$B138,2,FALSE)</f>
        <v>-1.04226754877399</v>
      </c>
      <c r="L18" t="s" s="26">
        <v>130</v>
      </c>
      <c r="M18" s="23" cm="1">
        <f t="array" ref="M18">VLOOKUP(L18,'Rating Lookup'!$A2:$B138,2,FALSE)</f>
        <v>-5.03311458515405</v>
      </c>
      <c r="N18" t="s" s="26">
        <v>92</v>
      </c>
      <c r="O18" s="23" cm="1">
        <f t="array" ref="O18">VLOOKUP(N18,'Rating Lookup'!$A2:$B138,2,FALSE)</f>
        <v>-1.87051168400926</v>
      </c>
      <c r="P18" s="23" cm="1">
        <f t="array" ref="P18">AVERAGE(C18,E18,G18,I18,K18,M18,O18)</f>
        <v>-0.717800396755194</v>
      </c>
    </row>
    <row r="19" ht="13.55" customHeight="1">
      <c r="A19" t="s" s="26">
        <v>117</v>
      </c>
      <c r="B19" t="s" s="26">
        <v>135</v>
      </c>
      <c r="C19" s="23" cm="1">
        <f t="array" ref="C19">VLOOKUP(B19,'Rating Lookup'!$A2:$B138,2,FALSE)</f>
        <v>-5.91317296171246</v>
      </c>
      <c r="D19" t="s" s="26">
        <v>85</v>
      </c>
      <c r="E19" s="23" cm="1">
        <f t="array" ref="E19">VLOOKUP(D19,'Rating Lookup'!$A2:$B138,2,FALSE)</f>
        <v>-1.16950431848081</v>
      </c>
      <c r="F19" t="s" s="26">
        <v>127</v>
      </c>
      <c r="G19" s="23" cm="1">
        <f t="array" ref="G19">VLOOKUP(F19,'Rating Lookup'!$A2:$B138,2,FALSE)</f>
        <v>-4.46999207445372</v>
      </c>
      <c r="H19" t="s" s="26">
        <v>76</v>
      </c>
      <c r="I19" s="23" cm="1">
        <f t="array" ref="I19">VLOOKUP(H19,'Rating Lookup'!$A2:$B138,2,FALSE)</f>
        <v>-0.53831981595041</v>
      </c>
      <c r="J19" t="s" s="26">
        <v>64</v>
      </c>
      <c r="K19" s="23" cm="1">
        <f t="array" ref="K19">VLOOKUP(J19,'Rating Lookup'!$A2:$B138,2,FALSE)</f>
        <v>0.5861765857014</v>
      </c>
      <c r="L19" t="s" s="26">
        <v>133</v>
      </c>
      <c r="M19" s="23" cm="1">
        <f t="array" ref="M19">VLOOKUP(L19,'Rating Lookup'!$A2:$B138,2,FALSE)</f>
        <v>-5.55857628514641</v>
      </c>
      <c r="N19" t="s" s="26">
        <v>68</v>
      </c>
      <c r="O19" s="23" cm="1">
        <f t="array" ref="O19">VLOOKUP(N19,'Rating Lookup'!$A2:$B138,2,FALSE)</f>
        <v>0.248638585007207</v>
      </c>
      <c r="P19" s="23" cm="1">
        <f t="array" ref="P19">AVERAGE(C19,E19,G19,I19,K19,M19,O19)</f>
        <v>-2.40210718357646</v>
      </c>
    </row>
    <row r="20" ht="13.55" customHeight="1">
      <c r="A20" t="s" s="26">
        <v>71</v>
      </c>
      <c r="B20" t="s" s="26">
        <v>111</v>
      </c>
      <c r="C20" s="23" cm="1">
        <f t="array" ref="C20">VLOOKUP(B20,'Rating Lookup'!$A2:$B138,2,FALSE)</f>
        <v>-3.28135612625608</v>
      </c>
      <c r="D20" t="s" s="26">
        <v>11</v>
      </c>
      <c r="E20" s="23" cm="1">
        <f t="array" ref="E20">VLOOKUP(D20,'Rating Lookup'!$A2:$B138,2,FALSE)</f>
        <v>5.67199536229164</v>
      </c>
      <c r="F20" t="s" s="26">
        <v>59</v>
      </c>
      <c r="G20" s="23" cm="1">
        <f t="array" ref="G20">VLOOKUP(F20,'Rating Lookup'!$A2:$B138,2,FALSE)</f>
        <v>1.35598510611147</v>
      </c>
      <c r="H20" t="s" s="26">
        <v>66</v>
      </c>
      <c r="I20" s="23" cm="1">
        <f t="array" ref="I20">VLOOKUP(H20,'Rating Lookup'!$A2:$B138,2,FALSE)</f>
        <v>0.29521010233505</v>
      </c>
      <c r="J20" t="s" s="26">
        <v>109</v>
      </c>
      <c r="K20" s="23" cm="1">
        <f t="array" ref="K20">VLOOKUP(J20,'Rating Lookup'!$A2:$B138,2,FALSE)</f>
        <v>-3.17082421974611</v>
      </c>
      <c r="L20" t="s" s="26">
        <v>128</v>
      </c>
      <c r="M20" s="23" cm="1">
        <f t="array" ref="M20">VLOOKUP(L20,'Rating Lookup'!$A2:$B138,2,FALSE)</f>
        <v>-4.71872907684507</v>
      </c>
      <c r="N20" t="s" s="26">
        <v>98</v>
      </c>
      <c r="O20" s="23" cm="1">
        <f t="array" ref="O20">VLOOKUP(N20,'Rating Lookup'!$A2:$B138,2,FALSE)</f>
        <v>-2.14818495614045</v>
      </c>
      <c r="P20" s="23" cm="1">
        <f t="array" ref="P20">AVERAGE(C20,E20,G20,I20,K20,M20,O20)</f>
        <v>-0.856557686892793</v>
      </c>
    </row>
    <row r="21" ht="13.55" customHeight="1">
      <c r="A21" t="s" s="26">
        <v>126</v>
      </c>
      <c r="B21" t="s" s="26">
        <v>18</v>
      </c>
      <c r="C21" s="23" cm="1">
        <f t="array" ref="C21">VLOOKUP(B21,'Rating Lookup'!$A2:$B138,2,FALSE)</f>
        <v>5.0922019441117</v>
      </c>
      <c r="D21" t="s" s="26">
        <v>23</v>
      </c>
      <c r="E21" s="23" cm="1">
        <f t="array" ref="E21">VLOOKUP(D21,'Rating Lookup'!$A2:$B138,2,FALSE)</f>
        <v>4.40189201585545</v>
      </c>
      <c r="F21" t="s" s="26">
        <v>67</v>
      </c>
      <c r="G21" s="23" cm="1">
        <f t="array" ref="G21">VLOOKUP(F21,'Rating Lookup'!$A2:$B138,2,FALSE)</f>
        <v>0.275678160475329</v>
      </c>
      <c r="H21" t="s" s="26">
        <v>15</v>
      </c>
      <c r="I21" s="23" cm="1">
        <f t="array" ref="I21">VLOOKUP(H21,'Rating Lookup'!$A2:$B138,2,FALSE)</f>
        <v>5.46568762547505</v>
      </c>
      <c r="J21" t="s" s="26">
        <v>123</v>
      </c>
      <c r="K21" s="23" cm="1">
        <f t="array" ref="K21">VLOOKUP(J21,'Rating Lookup'!$A2:$B138,2,FALSE)</f>
        <v>-4.19472030187331</v>
      </c>
      <c r="L21" t="s" s="26">
        <v>34</v>
      </c>
      <c r="M21" s="23" cm="1">
        <f t="array" ref="M21">VLOOKUP(L21,'Rating Lookup'!$A2:$B138,2,FALSE)</f>
        <v>3.46082209671099</v>
      </c>
      <c r="N21" t="s" s="26">
        <v>45</v>
      </c>
      <c r="O21" s="23" cm="1">
        <f t="array" ref="O21">VLOOKUP(N21,'Rating Lookup'!$A2:$B138,2,FALSE)</f>
        <v>2.3773723661694</v>
      </c>
      <c r="P21" s="23" cm="1">
        <f t="array" ref="P21">AVERAGE(C21,E21,G21,I21,K21,M21,O21)</f>
        <v>2.4112762724178</v>
      </c>
    </row>
    <row r="22" ht="13.55" customHeight="1">
      <c r="A22" t="s" s="26">
        <v>58</v>
      </c>
      <c r="B22" t="s" s="26">
        <v>89</v>
      </c>
      <c r="C22" s="23" cm="1">
        <f t="array" ref="C22">VLOOKUP(B22,'Rating Lookup'!$A2:$B138,2,FALSE)</f>
        <v>-1.465873424251</v>
      </c>
      <c r="D22" t="s" s="26">
        <v>110</v>
      </c>
      <c r="E22" s="23" cm="1">
        <f t="array" ref="E22">VLOOKUP(D22,'Rating Lookup'!$A2:$B138,2,FALSE)</f>
        <v>-3.24214829876599</v>
      </c>
      <c r="F22" t="s" s="26">
        <v>102</v>
      </c>
      <c r="G22" s="23" cm="1">
        <f t="array" ref="G22">VLOOKUP(F22,'Rating Lookup'!$A2:$B138,2,FALSE)</f>
        <v>-2.53885665448911</v>
      </c>
      <c r="H22" t="s" s="26">
        <v>115</v>
      </c>
      <c r="I22" s="23" cm="1">
        <f t="array" ref="I22">VLOOKUP(H22,'Rating Lookup'!$A2:$B138,2,FALSE)</f>
        <v>-3.65935390300287</v>
      </c>
      <c r="J22" t="s" s="26">
        <v>94</v>
      </c>
      <c r="K22" s="23" cm="1">
        <f t="array" ref="K22">VLOOKUP(J22,'Rating Lookup'!$A2:$B138,2,FALSE)</f>
        <v>-1.91272420043442</v>
      </c>
      <c r="L22" t="s" s="26">
        <v>115</v>
      </c>
      <c r="M22" s="23" cm="1">
        <f t="array" ref="M22">VLOOKUP(L22,'Rating Lookup'!$A2:$B138,2,FALSE)</f>
        <v>-3.65935390300287</v>
      </c>
      <c r="N22" t="s" s="26">
        <v>138</v>
      </c>
      <c r="O22" s="23" cm="1">
        <f t="array" ref="O22">VLOOKUP(N22,'Rating Lookup'!$A2:$B138,2,FALSE)</f>
        <v>-7.42780318353212</v>
      </c>
      <c r="P22" s="23" cm="1">
        <f t="array" ref="P22">AVERAGE(C22,E22,G22,I22,K22,M22,O22)</f>
        <v>-3.41515908106834</v>
      </c>
    </row>
    <row r="23" ht="13.55" customHeight="1">
      <c r="A23" t="s" s="26">
        <v>43</v>
      </c>
      <c r="B23" t="s" s="26">
        <v>24</v>
      </c>
      <c r="C23" s="23" cm="1">
        <f t="array" ref="C23">VLOOKUP(B23,'Rating Lookup'!$A2:$B138,2,FALSE)</f>
        <v>4.31123264075225</v>
      </c>
      <c r="D23" t="s" s="26">
        <v>24</v>
      </c>
      <c r="E23" s="23" cm="1">
        <f t="array" ref="E23">VLOOKUP(D23,'Rating Lookup'!$A2:$B138,2,FALSE)</f>
        <v>4.31123264075225</v>
      </c>
      <c r="F23" t="s" s="26">
        <v>125</v>
      </c>
      <c r="G23" s="23" cm="1">
        <f t="array" ref="G23">VLOOKUP(F23,'Rating Lookup'!$A2:$B138,2,FALSE)</f>
        <v>-4.34735517155842</v>
      </c>
      <c r="H23" t="s" s="26">
        <v>49</v>
      </c>
      <c r="I23" s="23" cm="1">
        <f t="array" ref="I23">VLOOKUP(H23,'Rating Lookup'!$A2:$B138,2,FALSE)</f>
        <v>2.02733086035033</v>
      </c>
      <c r="J23" t="s" s="26">
        <v>65</v>
      </c>
      <c r="K23" s="23" cm="1">
        <f t="array" ref="K23">VLOOKUP(J23,'Rating Lookup'!$A2:$B138,2,FALSE)</f>
        <v>0.5243959583097469</v>
      </c>
      <c r="L23" t="s" s="26">
        <v>56</v>
      </c>
      <c r="M23" s="23" cm="1">
        <f t="array" ref="M23">VLOOKUP(L23,'Rating Lookup'!$A2:$B138,2,FALSE)</f>
        <v>1.60624122091741</v>
      </c>
      <c r="N23" t="s" s="26">
        <v>13</v>
      </c>
      <c r="O23" s="23" cm="1">
        <f t="array" ref="O23">VLOOKUP(N23,'Rating Lookup'!$A2:$B138,2,FALSE)</f>
        <v>5.59129696346212</v>
      </c>
      <c r="P23" s="23" cm="1">
        <f t="array" ref="P23">AVERAGE(C23,E23,G23,I23,K23,M23,O23)</f>
        <v>2.00348215899796</v>
      </c>
    </row>
    <row r="24" ht="13.55" customHeight="1">
      <c r="A24" t="s" s="26">
        <v>127</v>
      </c>
      <c r="B24" t="s" s="26">
        <v>81</v>
      </c>
      <c r="C24" s="23" cm="1">
        <f t="array" ref="C24">VLOOKUP(B24,'Rating Lookup'!$A2:$B138,2,FALSE)</f>
        <v>-0.88177362772117</v>
      </c>
      <c r="D24" t="s" s="26">
        <v>131</v>
      </c>
      <c r="E24" s="23" cm="1">
        <f t="array" ref="E24">VLOOKUP(D24,'Rating Lookup'!$A2:$B138,2,FALSE)</f>
        <v>-5.2111720771302</v>
      </c>
      <c r="F24" t="s" s="26">
        <v>117</v>
      </c>
      <c r="G24" s="23" cm="1">
        <f t="array" ref="G24">VLOOKUP(F24,'Rating Lookup'!$A2:$B138,2,FALSE)</f>
        <v>-3.77709009717078</v>
      </c>
      <c r="H24" t="s" s="26">
        <v>30</v>
      </c>
      <c r="I24" s="23" cm="1">
        <f t="array" ref="I24">VLOOKUP(H24,'Rating Lookup'!$A2:$B138,2,FALSE)</f>
        <v>3.69943647894699</v>
      </c>
      <c r="J24" t="s" s="26">
        <v>115</v>
      </c>
      <c r="K24" s="23" cm="1">
        <f t="array" ref="K24">VLOOKUP(J24,'Rating Lookup'!$A2:$B138,2,FALSE)</f>
        <v>-3.65935390300287</v>
      </c>
      <c r="L24" t="s" s="26">
        <v>64</v>
      </c>
      <c r="M24" s="23" cm="1">
        <f t="array" ref="M24">VLOOKUP(L24,'Rating Lookup'!$A2:$B138,2,FALSE)</f>
        <v>0.5861765857014</v>
      </c>
      <c r="N24" t="s" s="26">
        <v>95</v>
      </c>
      <c r="O24" s="23" cm="1">
        <f t="array" ref="O24">VLOOKUP(N24,'Rating Lookup'!$A2:$B138,2,FALSE)</f>
        <v>-1.92319740027882</v>
      </c>
      <c r="P24" s="23" cm="1">
        <f t="array" ref="P24">AVERAGE(C24,E24,G24,I24,K24,M24,O24)</f>
        <v>-1.59528200580792</v>
      </c>
    </row>
    <row r="25" ht="13.55" customHeight="1">
      <c r="A25" t="s" s="26">
        <v>95</v>
      </c>
      <c r="B25" t="s" s="26">
        <v>54</v>
      </c>
      <c r="C25" s="23" cm="1">
        <f t="array" ref="C25">VLOOKUP(B25,'Rating Lookup'!$A2:$B138,2,FALSE)</f>
        <v>1.67670283281755</v>
      </c>
      <c r="D25" t="s" s="26">
        <v>36</v>
      </c>
      <c r="E25" s="23" cm="1">
        <f t="array" ref="E25">VLOOKUP(D25,'Rating Lookup'!$A2:$B138,2,FALSE)</f>
        <v>3.26105716610947</v>
      </c>
      <c r="F25" t="s" s="26">
        <v>25</v>
      </c>
      <c r="G25" s="23" cm="1">
        <f t="array" ref="G25">VLOOKUP(F25,'Rating Lookup'!$A2:$B138,2,FALSE)</f>
        <v>4.26570683475592</v>
      </c>
      <c r="H25" t="s" s="26">
        <v>65</v>
      </c>
      <c r="I25" s="23" cm="1">
        <f t="array" ref="I25">VLOOKUP(H25,'Rating Lookup'!$A2:$B138,2,FALSE)</f>
        <v>0.5243959583097469</v>
      </c>
      <c r="J25" t="s" s="26">
        <v>27</v>
      </c>
      <c r="K25" s="23" cm="1">
        <f t="array" ref="K25">VLOOKUP(J25,'Rating Lookup'!$A2:$B138,2,FALSE)</f>
        <v>4.00435455050306</v>
      </c>
      <c r="L25" t="s" s="26">
        <v>80</v>
      </c>
      <c r="M25" s="23" cm="1">
        <f t="array" ref="M25">VLOOKUP(L25,'Rating Lookup'!$A2:$B138,2,FALSE)</f>
        <v>-0.84768132374283</v>
      </c>
      <c r="N25" t="s" s="26">
        <v>127</v>
      </c>
      <c r="O25" s="23" cm="1">
        <f t="array" ref="O25">VLOOKUP(N25,'Rating Lookup'!$A2:$B138,2,FALSE)</f>
        <v>-4.46999207445372</v>
      </c>
      <c r="P25" s="23" cm="1">
        <f t="array" ref="P25">AVERAGE(C25,E25,G25,I25,K25,M25,O25)</f>
        <v>1.20207770632846</v>
      </c>
    </row>
    <row r="26" ht="13.55" customHeight="1">
      <c r="A26" t="s" s="26">
        <v>123</v>
      </c>
      <c r="B26" t="s" s="26">
        <v>51</v>
      </c>
      <c r="C26" s="23" cm="1">
        <f t="array" ref="C26">VLOOKUP(B26,'Rating Lookup'!$A2:$B138,2,FALSE)</f>
        <v>1.92271517987119</v>
      </c>
      <c r="D26" t="s" s="26">
        <v>49</v>
      </c>
      <c r="E26" s="23" cm="1">
        <f t="array" ref="E26">VLOOKUP(D26,'Rating Lookup'!$A2:$B138,2,FALSE)</f>
        <v>2.02733086035033</v>
      </c>
      <c r="F26" t="s" s="26">
        <v>81</v>
      </c>
      <c r="G26" s="23" cm="1">
        <f t="array" ref="G26">VLOOKUP(F26,'Rating Lookup'!$A2:$B138,2,FALSE)</f>
        <v>-0.88177362772117</v>
      </c>
      <c r="H26" t="s" s="26">
        <v>20</v>
      </c>
      <c r="I26" s="23" cm="1">
        <f t="array" ref="I26">VLOOKUP(H26,'Rating Lookup'!$A2:$B138,2,FALSE)</f>
        <v>4.57875396195659</v>
      </c>
      <c r="J26" t="s" s="26">
        <v>126</v>
      </c>
      <c r="K26" s="23" cm="1">
        <f t="array" ref="K26">VLOOKUP(J26,'Rating Lookup'!$A2:$B138,2,FALSE)</f>
        <v>-4.4638143553882</v>
      </c>
      <c r="L26" t="s" s="26">
        <v>44</v>
      </c>
      <c r="M26" s="23" cm="1">
        <f t="array" ref="M26">VLOOKUP(L26,'Rating Lookup'!$A2:$B138,2,FALSE)</f>
        <v>2.62459139012443</v>
      </c>
      <c r="N26" t="s" s="26">
        <v>84</v>
      </c>
      <c r="O26" s="23" cm="1">
        <f t="array" ref="O26">VLOOKUP(N26,'Rating Lookup'!$A2:$B138,2,FALSE)</f>
        <v>-1.04555922522911</v>
      </c>
      <c r="P26" s="23" cm="1">
        <f t="array" ref="P26">AVERAGE(C26,E26,G26,I26,K26,M26,O26)</f>
        <v>0.680320597709151</v>
      </c>
    </row>
    <row r="27" ht="13.55" customHeight="1">
      <c r="A27" t="s" s="26">
        <v>116</v>
      </c>
      <c r="B27" t="s" s="26">
        <v>137</v>
      </c>
      <c r="C27" s="23" cm="1">
        <f t="array" ref="C27">VLOOKUP(B27,'Rating Lookup'!$A2:$B138,2,FALSE)</f>
        <v>-6.85729246652121</v>
      </c>
      <c r="D27" t="s" s="26">
        <v>18</v>
      </c>
      <c r="E27" s="23" cm="1">
        <f t="array" ref="E27">VLOOKUP(D27,'Rating Lookup'!$A2:$B138,2,FALSE)</f>
        <v>5.0922019441117</v>
      </c>
      <c r="F27" t="s" s="26">
        <v>12</v>
      </c>
      <c r="G27" s="23" cm="1">
        <f t="array" ref="G27">VLOOKUP(F27,'Rating Lookup'!$A2:$B138,2,FALSE)</f>
        <v>5.59982769875114</v>
      </c>
      <c r="H27" t="s" s="26">
        <v>88</v>
      </c>
      <c r="I27" s="23" cm="1">
        <f t="array" ref="I27">VLOOKUP(H27,'Rating Lookup'!$A2:$B138,2,FALSE)</f>
        <v>-1.35956232001684</v>
      </c>
      <c r="J27" t="s" s="26">
        <v>38</v>
      </c>
      <c r="K27" s="23" cm="1">
        <f t="array" ref="K27">VLOOKUP(J27,'Rating Lookup'!$A2:$B138,2,FALSE)</f>
        <v>3.19465323054226</v>
      </c>
      <c r="L27" t="s" s="26">
        <v>79</v>
      </c>
      <c r="M27" s="23" cm="1">
        <f t="array" ref="M27">VLOOKUP(L27,'Rating Lookup'!$A2:$B138,2,FALSE)</f>
        <v>-0.836360098479986</v>
      </c>
      <c r="N27" t="s" s="26">
        <v>140</v>
      </c>
      <c r="O27" s="23" cm="1">
        <f t="array" ref="O27">VLOOKUP(N27,'Rating Lookup'!$A2:$B138,2,FALSE)</f>
        <v>-9.31654300434057</v>
      </c>
      <c r="P27" s="23" cm="1">
        <f t="array" ref="P27">AVERAGE(C27,E27,G27,I27,K27,M27,O27)</f>
        <v>-0.640439287993358</v>
      </c>
    </row>
    <row r="28" ht="13.55" customHeight="1">
      <c r="A28" t="s" s="26">
        <v>38</v>
      </c>
      <c r="B28" t="s" s="26">
        <v>101</v>
      </c>
      <c r="C28" s="23" cm="1">
        <f t="array" ref="C28">VLOOKUP(B28,'Rating Lookup'!$A2:$B138,2,FALSE)</f>
        <v>-2.49383104131239</v>
      </c>
      <c r="D28" t="s" s="26">
        <v>111</v>
      </c>
      <c r="E28" s="23" cm="1">
        <f t="array" ref="E28">VLOOKUP(D28,'Rating Lookup'!$A2:$B138,2,FALSE)</f>
        <v>-3.28135612625608</v>
      </c>
      <c r="F28" t="s" s="26">
        <v>122</v>
      </c>
      <c r="G28" s="23" cm="1">
        <f t="array" ref="G28">VLOOKUP(F28,'Rating Lookup'!$A2:$B138,2,FALSE)</f>
        <v>-4.1152424920869</v>
      </c>
      <c r="H28" t="s" s="26">
        <v>31</v>
      </c>
      <c r="I28" s="23" cm="1">
        <f t="array" ref="I28">VLOOKUP(H28,'Rating Lookup'!$A2:$B138,2,FALSE)</f>
        <v>3.65492759905113</v>
      </c>
      <c r="J28" t="s" s="26">
        <v>116</v>
      </c>
      <c r="K28" s="23" cm="1">
        <f t="array" ref="K28">VLOOKUP(J28,'Rating Lookup'!$A2:$B138,2,FALSE)</f>
        <v>-3.76562451732892</v>
      </c>
      <c r="L28" t="s" s="26">
        <v>81</v>
      </c>
      <c r="M28" s="23" cm="1">
        <f t="array" ref="M28">VLOOKUP(L28,'Rating Lookup'!$A2:$B138,2,FALSE)</f>
        <v>-0.88177362772117</v>
      </c>
      <c r="N28" t="s" s="26">
        <v>81</v>
      </c>
      <c r="O28" s="23" cm="1">
        <f t="array" ref="O28">VLOOKUP(N28,'Rating Lookup'!$A2:$B138,2,FALSE)</f>
        <v>-0.88177362772117</v>
      </c>
      <c r="P28" s="23" cm="1">
        <f t="array" ref="P28">AVERAGE(C28,E28,G28,I28,K28,M28,O28)</f>
        <v>-1.68066769048221</v>
      </c>
    </row>
    <row r="29" ht="13.55" customHeight="1">
      <c r="A29" t="s" s="26">
        <v>68</v>
      </c>
      <c r="B29" t="s" s="26">
        <v>73</v>
      </c>
      <c r="C29" s="23" cm="1">
        <f t="array" ref="C29">VLOOKUP(B29,'Rating Lookup'!$A2:$B138,2,FALSE)</f>
        <v>-0.42667333775956</v>
      </c>
      <c r="D29" t="s" s="26">
        <v>137</v>
      </c>
      <c r="E29" s="23" cm="1">
        <f t="array" ref="E29">VLOOKUP(D29,'Rating Lookup'!$A2:$B138,2,FALSE)</f>
        <v>-6.85729246652121</v>
      </c>
      <c r="F29" t="s" s="26">
        <v>21</v>
      </c>
      <c r="G29" s="23" cm="1">
        <f t="array" ref="G29">VLOOKUP(F29,'Rating Lookup'!$A2:$B138,2,FALSE)</f>
        <v>4.55913673980902</v>
      </c>
      <c r="H29" t="s" s="26">
        <v>16</v>
      </c>
      <c r="I29" s="23" cm="1">
        <f t="array" ref="I29">VLOOKUP(H29,'Rating Lookup'!$A2:$B138,2,FALSE)</f>
        <v>5.27483839422214</v>
      </c>
      <c r="J29" t="s" s="26">
        <v>90</v>
      </c>
      <c r="K29" s="23" cm="1">
        <f t="array" ref="K29">VLOOKUP(J29,'Rating Lookup'!$A2:$B138,2,FALSE)</f>
        <v>-1.62598908807918</v>
      </c>
      <c r="L29" t="s" s="26">
        <v>111</v>
      </c>
      <c r="M29" s="23" cm="1">
        <f t="array" ref="M29">VLOOKUP(L29,'Rating Lookup'!$A2:$B138,2,FALSE)</f>
        <v>-3.28135612625608</v>
      </c>
      <c r="N29" t="s" s="26">
        <v>117</v>
      </c>
      <c r="O29" s="23" cm="1">
        <f t="array" ref="O29">VLOOKUP(N29,'Rating Lookup'!$A2:$B138,2,FALSE)</f>
        <v>-3.77709009717078</v>
      </c>
      <c r="P29" s="23" cm="1">
        <f t="array" ref="P29">AVERAGE(C29,E29,G29,I29,K29,M29,O29)</f>
        <v>-0.876346568822236</v>
      </c>
    </row>
    <row r="30" ht="13.55" customHeight="1">
      <c r="A30" t="s" s="26">
        <v>92</v>
      </c>
      <c r="B30" t="s" s="26">
        <v>83</v>
      </c>
      <c r="C30" s="23" cm="1">
        <f t="array" ref="C30">VLOOKUP(B30,'Rating Lookup'!$A2:$B138,2,FALSE)</f>
        <v>-1.04226754877399</v>
      </c>
      <c r="D30" t="s" s="26">
        <v>88</v>
      </c>
      <c r="E30" s="23" cm="1">
        <f t="array" ref="E30">VLOOKUP(D30,'Rating Lookup'!$A2:$B138,2,FALSE)</f>
        <v>-1.35956232001684</v>
      </c>
      <c r="F30" t="s" s="26">
        <v>61</v>
      </c>
      <c r="G30" s="23" cm="1">
        <f t="array" ref="G30">VLOOKUP(F30,'Rating Lookup'!$A2:$B138,2,FALSE)</f>
        <v>0.7599191252438799</v>
      </c>
      <c r="H30" t="s" s="26">
        <v>34</v>
      </c>
      <c r="I30" s="23" cm="1">
        <f t="array" ref="I30">VLOOKUP(H30,'Rating Lookup'!$A2:$B138,2,FALSE)</f>
        <v>3.46082209671099</v>
      </c>
      <c r="J30" t="s" s="26">
        <v>6</v>
      </c>
      <c r="K30" s="23" cm="1">
        <f t="array" ref="K30">VLOOKUP(J30,'Rating Lookup'!$A2:$B138,2,FALSE)</f>
        <v>6.89188674772828</v>
      </c>
      <c r="L30" t="s" s="26">
        <v>118</v>
      </c>
      <c r="M30" s="23" cm="1">
        <f t="array" ref="M30">VLOOKUP(L30,'Rating Lookup'!$A2:$B138,2,FALSE)</f>
        <v>-3.83643338464872</v>
      </c>
      <c r="N30" t="s" s="26">
        <v>48</v>
      </c>
      <c r="O30" s="23" cm="1">
        <f t="array" ref="O30">VLOOKUP(N30,'Rating Lookup'!$A2:$B138,2,FALSE)</f>
        <v>2.15718932731102</v>
      </c>
      <c r="P30" s="23" cm="1">
        <f t="array" ref="P30">AVERAGE(C30,E30,G30,I30,K30,M30,O30)</f>
        <v>1.0045077205078</v>
      </c>
    </row>
    <row r="31" ht="13.55" customHeight="1">
      <c r="A31" t="s" s="26">
        <v>6</v>
      </c>
      <c r="B31" t="s" s="26">
        <v>37</v>
      </c>
      <c r="C31" s="23" cm="1">
        <f t="array" ref="C31">VLOOKUP(B31,'Rating Lookup'!$A2:$B138,2,FALSE)</f>
        <v>3.24335785314622</v>
      </c>
      <c r="D31" t="s" s="26">
        <v>103</v>
      </c>
      <c r="E31" s="23" cm="1">
        <f t="array" ref="E31">VLOOKUP(D31,'Rating Lookup'!$A2:$B138,2,FALSE)</f>
        <v>-2.57170378386919</v>
      </c>
      <c r="F31" t="s" s="26">
        <v>39</v>
      </c>
      <c r="G31" s="23" cm="1">
        <f t="array" ref="G31">VLOOKUP(F31,'Rating Lookup'!$A2:$B138,2,FALSE)</f>
        <v>3.10202729206284</v>
      </c>
      <c r="H31" t="s" s="26">
        <v>48</v>
      </c>
      <c r="I31" s="23" cm="1">
        <f t="array" ref="I31">VLOOKUP(H31,'Rating Lookup'!$A2:$B138,2,FALSE)</f>
        <v>2.15718932731102</v>
      </c>
      <c r="J31" t="s" s="26">
        <v>92</v>
      </c>
      <c r="K31" s="23" cm="1">
        <f t="array" ref="K31">VLOOKUP(J31,'Rating Lookup'!$A2:$B138,2,FALSE)</f>
        <v>-1.87051168400926</v>
      </c>
      <c r="L31" t="s" s="26">
        <v>121</v>
      </c>
      <c r="M31" s="23" cm="1">
        <f t="array" ref="M31">VLOOKUP(L31,'Rating Lookup'!$A2:$B138,2,FALSE)</f>
        <v>-4.08640151456241</v>
      </c>
      <c r="N31" t="s" s="26">
        <v>70</v>
      </c>
      <c r="O31" s="23" cm="1">
        <f t="array" ref="O31">VLOOKUP(N31,'Rating Lookup'!$A2:$B138,2,FALSE)</f>
        <v>0.14360151048081</v>
      </c>
      <c r="P31" s="23" cm="1">
        <f t="array" ref="P31">AVERAGE(C31,E31,G31,I31,K31,M31,O31)</f>
        <v>0.0167941429371471</v>
      </c>
    </row>
    <row r="32" ht="13.55" customHeight="1">
      <c r="A32" t="s" s="26">
        <v>104</v>
      </c>
      <c r="B32" t="s" s="26">
        <v>119</v>
      </c>
      <c r="C32" s="23" cm="1">
        <f t="array" ref="C32">VLOOKUP(B32,'Rating Lookup'!$A2:$B138,2,FALSE)</f>
        <v>-3.95691937561155</v>
      </c>
      <c r="D32" t="s" s="26">
        <v>67</v>
      </c>
      <c r="E32" s="23" cm="1">
        <f t="array" ref="E32">VLOOKUP(D32,'Rating Lookup'!$A2:$B138,2,FALSE)</f>
        <v>0.275678160475329</v>
      </c>
      <c r="F32" t="s" s="26">
        <v>48</v>
      </c>
      <c r="G32" s="23" cm="1">
        <f t="array" ref="G32">VLOOKUP(F32,'Rating Lookup'!$A2:$B138,2,FALSE)</f>
        <v>2.15718932731102</v>
      </c>
      <c r="H32" t="s" s="26">
        <v>32</v>
      </c>
      <c r="I32" s="23" cm="1">
        <f t="array" ref="I32">VLOOKUP(H32,'Rating Lookup'!$A2:$B138,2,FALSE)</f>
        <v>3.57260180896642</v>
      </c>
      <c r="J32" t="s" s="26">
        <v>74</v>
      </c>
      <c r="K32" s="23" cm="1">
        <f t="array" ref="K32">VLOOKUP(J32,'Rating Lookup'!$A2:$B138,2,FALSE)</f>
        <v>-0.46501955700663</v>
      </c>
      <c r="L32" t="s" s="26">
        <v>134</v>
      </c>
      <c r="M32" s="23" cm="1">
        <f t="array" ref="M32">VLOOKUP(L32,'Rating Lookup'!$A2:$B138,2,FALSE)</f>
        <v>-5.69069429802854</v>
      </c>
      <c r="N32" t="s" s="26">
        <v>8</v>
      </c>
      <c r="O32" s="23" cm="1">
        <f t="array" ref="O32">VLOOKUP(N32,'Rating Lookup'!$A2:$B138,2,FALSE)</f>
        <v>6.10756515153678</v>
      </c>
      <c r="P32" s="23" cm="1">
        <f t="array" ref="P32">AVERAGE(C32,E32,G32,I32,K32,M32,O32)</f>
        <v>0.285771602520404</v>
      </c>
    </row>
    <row r="33" ht="13.55" customHeight="1">
      <c r="A33" t="s" s="26">
        <v>105</v>
      </c>
      <c r="B33" t="s" s="26">
        <v>26</v>
      </c>
      <c r="C33" s="23" cm="1">
        <f t="array" ref="C33">VLOOKUP(B33,'Rating Lookup'!$A2:$B138,2,FALSE)</f>
        <v>4.01425721966897</v>
      </c>
      <c r="D33" t="s" s="26">
        <v>12</v>
      </c>
      <c r="E33" s="23" cm="1">
        <f t="array" ref="E33">VLOOKUP(D33,'Rating Lookup'!$A2:$B138,2,FALSE)</f>
        <v>5.59982769875114</v>
      </c>
      <c r="F33" t="s" s="26">
        <v>85</v>
      </c>
      <c r="G33" s="23" cm="1">
        <f t="array" ref="G33">VLOOKUP(F33,'Rating Lookup'!$A2:$B138,2,FALSE)</f>
        <v>-1.16950431848081</v>
      </c>
      <c r="H33" t="s" s="26">
        <v>56</v>
      </c>
      <c r="I33" s="23" cm="1">
        <f t="array" ref="I33">VLOOKUP(H33,'Rating Lookup'!$A2:$B138,2,FALSE)</f>
        <v>1.60624122091741</v>
      </c>
      <c r="J33" t="s" s="26">
        <v>10</v>
      </c>
      <c r="K33" s="23" cm="1">
        <f t="array" ref="K33">VLOOKUP(J33,'Rating Lookup'!$A2:$B138,2,FALSE)</f>
        <v>5.98822025778287</v>
      </c>
      <c r="L33" t="s" s="26">
        <v>37</v>
      </c>
      <c r="M33" s="23" cm="1">
        <f t="array" ref="M33">VLOOKUP(L33,'Rating Lookup'!$A2:$B138,2,FALSE)</f>
        <v>3.24335785314622</v>
      </c>
      <c r="N33" t="s" s="26">
        <v>122</v>
      </c>
      <c r="O33" s="23" cm="1">
        <f t="array" ref="O33">VLOOKUP(N33,'Rating Lookup'!$A2:$B138,2,FALSE)</f>
        <v>-4.1152424920869</v>
      </c>
      <c r="P33" s="23" cm="1">
        <f t="array" ref="P33">AVERAGE(C33,E33,G33,I33,K33,M33,O33)</f>
        <v>2.16673677709984</v>
      </c>
    </row>
    <row r="34" ht="13.55" customHeight="1">
      <c r="A34" t="s" s="26">
        <v>32</v>
      </c>
      <c r="B34" t="s" s="26">
        <v>19</v>
      </c>
      <c r="C34" s="23" cm="1">
        <f t="array" ref="C34">VLOOKUP(B34,'Rating Lookup'!$A2:$B138,2,FALSE)</f>
        <v>4.5934517710258</v>
      </c>
      <c r="D34" t="s" s="26">
        <v>119</v>
      </c>
      <c r="E34" s="23" cm="1">
        <f t="array" ref="E34">VLOOKUP(D34,'Rating Lookup'!$A2:$B138,2,FALSE)</f>
        <v>-3.95691937561155</v>
      </c>
      <c r="F34" t="s" s="26">
        <v>54</v>
      </c>
      <c r="G34" s="23" cm="1">
        <f t="array" ref="G34">VLOOKUP(F34,'Rating Lookup'!$A2:$B138,2,FALSE)</f>
        <v>1.67670283281755</v>
      </c>
      <c r="H34" t="s" s="26">
        <v>104</v>
      </c>
      <c r="I34" s="23" cm="1">
        <f t="array" ref="I34">VLOOKUP(H34,'Rating Lookup'!$A2:$B138,2,FALSE)</f>
        <v>-2.58914252844136</v>
      </c>
      <c r="J34" t="s" s="26">
        <v>42</v>
      </c>
      <c r="K34" s="23" cm="1">
        <f t="array" ref="K34">VLOOKUP(J34,'Rating Lookup'!$A2:$B138,2,FALSE)</f>
        <v>2.74320770982259</v>
      </c>
      <c r="L34" t="s" s="26">
        <v>88</v>
      </c>
      <c r="M34" s="23" cm="1">
        <f t="array" ref="M34">VLOOKUP(L34,'Rating Lookup'!$A2:$B138,2,FALSE)</f>
        <v>-1.35956232001684</v>
      </c>
      <c r="N34" t="s" s="26">
        <v>67</v>
      </c>
      <c r="O34" s="23" cm="1">
        <f t="array" ref="O34">VLOOKUP(N34,'Rating Lookup'!$A2:$B138,2,FALSE)</f>
        <v>0.275678160475329</v>
      </c>
      <c r="P34" s="23" cm="1">
        <f t="array" ref="P34">AVERAGE(C34,E34,G34,I34,K34,M34,O34)</f>
        <v>0.19763089286736</v>
      </c>
    </row>
    <row r="35" ht="13.55" customHeight="1">
      <c r="A35" t="s" s="26">
        <v>110</v>
      </c>
      <c r="B35" t="s" s="26">
        <v>63</v>
      </c>
      <c r="C35" s="23" cm="1">
        <f t="array" ref="C35">VLOOKUP(B35,'Rating Lookup'!$A2:$B138,2,FALSE)</f>
        <v>0.59579451619031</v>
      </c>
      <c r="D35" t="s" s="26">
        <v>58</v>
      </c>
      <c r="E35" s="23" cm="1">
        <f t="array" ref="E35">VLOOKUP(D35,'Rating Lookup'!$A2:$B138,2,FALSE)</f>
        <v>1.46004862122864</v>
      </c>
      <c r="F35" t="s" s="26">
        <v>72</v>
      </c>
      <c r="G35" s="23" cm="1">
        <f t="array" ref="G35">VLOOKUP(F35,'Rating Lookup'!$A2:$B138,2,FALSE)</f>
        <v>-0.11442308333701</v>
      </c>
      <c r="H35" t="s" s="26">
        <v>85</v>
      </c>
      <c r="I35" s="23" cm="1">
        <f t="array" ref="I35">VLOOKUP(H35,'Rating Lookup'!$A2:$B138,2,FALSE)</f>
        <v>-1.16950431848081</v>
      </c>
      <c r="J35" t="s" s="26">
        <v>114</v>
      </c>
      <c r="K35" s="23" cm="1">
        <f t="array" ref="K35">VLOOKUP(J35,'Rating Lookup'!$A2:$B138,2,FALSE)</f>
        <v>-3.48946206869539</v>
      </c>
      <c r="L35" t="s" s="26">
        <v>135</v>
      </c>
      <c r="M35" s="23" cm="1">
        <f t="array" ref="M35">VLOOKUP(L35,'Rating Lookup'!$A2:$B138,2,FALSE)</f>
        <v>-5.91317296171246</v>
      </c>
      <c r="N35" t="s" s="26">
        <v>24</v>
      </c>
      <c r="O35" s="23" cm="1">
        <f t="array" ref="O35">VLOOKUP(N35,'Rating Lookup'!$A2:$B138,2,FALSE)</f>
        <v>4.31123264075225</v>
      </c>
      <c r="P35" s="23" cm="1">
        <f t="array" ref="P35">AVERAGE(C35,E35,G35,I35,K35,M35,O35)</f>
        <v>-0.617069522007781</v>
      </c>
    </row>
    <row r="36" ht="13.55" customHeight="1">
      <c r="A36" t="s" s="26">
        <v>13</v>
      </c>
      <c r="B36" t="s" s="26">
        <v>46</v>
      </c>
      <c r="C36" s="23" cm="1">
        <f t="array" ref="C36">VLOOKUP(B36,'Rating Lookup'!$A2:$B138,2,FALSE)</f>
        <v>2.24485292723666</v>
      </c>
      <c r="D36" t="s" s="26">
        <v>59</v>
      </c>
      <c r="E36" s="23" cm="1">
        <f t="array" ref="E36">VLOOKUP(D36,'Rating Lookup'!$A2:$B138,2,FALSE)</f>
        <v>1.35598510611147</v>
      </c>
      <c r="F36" t="s" s="26">
        <v>26</v>
      </c>
      <c r="G36" s="23" cm="1">
        <f t="array" ref="G36">VLOOKUP(F36,'Rating Lookup'!$A2:$B138,2,FALSE)</f>
        <v>4.01425721966897</v>
      </c>
      <c r="H36" t="s" s="26">
        <v>64</v>
      </c>
      <c r="I36" s="23" cm="1">
        <f t="array" ref="I36">VLOOKUP(H36,'Rating Lookup'!$A2:$B138,2,FALSE)</f>
        <v>0.5861765857014</v>
      </c>
      <c r="J36" t="s" s="26">
        <v>41</v>
      </c>
      <c r="K36" s="23" cm="1">
        <f t="array" ref="K36">VLOOKUP(J36,'Rating Lookup'!$A2:$B138,2,FALSE)</f>
        <v>2.77908909331727</v>
      </c>
      <c r="L36" t="s" s="26">
        <v>31</v>
      </c>
      <c r="M36" s="23" cm="1">
        <f t="array" ref="M36">VLOOKUP(L36,'Rating Lookup'!$A2:$B138,2,FALSE)</f>
        <v>3.65492759905113</v>
      </c>
      <c r="N36" t="s" s="26">
        <v>43</v>
      </c>
      <c r="O36" s="23" cm="1">
        <f t="array" ref="O36">VLOOKUP(N36,'Rating Lookup'!$A2:$B138,2,FALSE)</f>
        <v>2.62817334380147</v>
      </c>
      <c r="P36" s="23" cm="1">
        <f t="array" ref="P36">AVERAGE(C36,E36,G36,I36,K36,M36,O36)</f>
        <v>2.46620883926977</v>
      </c>
    </row>
    <row r="37" ht="13.55" customHeight="1">
      <c r="A37" t="s" s="26">
        <v>76</v>
      </c>
      <c r="B37" t="s" s="26">
        <v>55</v>
      </c>
      <c r="C37" s="23" cm="1">
        <f t="array" ref="C37">VLOOKUP(B37,'Rating Lookup'!$A2:$B138,2,FALSE)</f>
        <v>1.61968253185873</v>
      </c>
      <c r="D37" t="s" s="26">
        <v>135</v>
      </c>
      <c r="E37" s="23" cm="1">
        <f t="array" ref="E37">VLOOKUP(D37,'Rating Lookup'!$A2:$B138,2,FALSE)</f>
        <v>-5.91317296171246</v>
      </c>
      <c r="F37" t="s" s="26">
        <v>10</v>
      </c>
      <c r="G37" s="23" cm="1">
        <f t="array" ref="G37">VLOOKUP(F37,'Rating Lookup'!$A2:$B138,2,FALSE)</f>
        <v>5.98822025778287</v>
      </c>
      <c r="H37" t="s" s="26">
        <v>117</v>
      </c>
      <c r="I37" s="23" cm="1">
        <f t="array" ref="I37">VLOOKUP(H37,'Rating Lookup'!$A2:$B138,2,FALSE)</f>
        <v>-3.77709009717078</v>
      </c>
      <c r="J37" t="s" s="26">
        <v>8</v>
      </c>
      <c r="K37" s="23" cm="1">
        <f t="array" ref="K37">VLOOKUP(J37,'Rating Lookup'!$A2:$B138,2,FALSE)</f>
        <v>6.10756515153678</v>
      </c>
      <c r="L37" t="s" s="26">
        <v>20</v>
      </c>
      <c r="M37" s="23" cm="1">
        <f t="array" ref="M37">VLOOKUP(L37,'Rating Lookup'!$A2:$B138,2,FALSE)</f>
        <v>4.57875396195659</v>
      </c>
      <c r="N37" t="s" s="26">
        <v>5</v>
      </c>
      <c r="O37" s="23" cm="1">
        <f t="array" ref="O37">VLOOKUP(N37,'Rating Lookup'!$A2:$B138,2,FALSE)</f>
        <v>7.75371529836661</v>
      </c>
      <c r="P37" s="23" cm="1">
        <f t="array" ref="P37">AVERAGE(C37,E37,G37,I37,K37,M37,O37)</f>
        <v>2.33681059180262</v>
      </c>
    </row>
    <row r="38" ht="13.55" customHeight="1">
      <c r="A38" t="s" s="26">
        <v>133</v>
      </c>
      <c r="B38" t="s" s="26">
        <v>56</v>
      </c>
      <c r="C38" s="23" cm="1">
        <f t="array" ref="C38">VLOOKUP(B38,'Rating Lookup'!$A2:$B138,2,FALSE)</f>
        <v>1.60624122091741</v>
      </c>
      <c r="D38" t="s" s="26">
        <v>108</v>
      </c>
      <c r="E38" s="23" cm="1">
        <f t="array" ref="E38">VLOOKUP(D38,'Rating Lookup'!$A2:$B138,2,FALSE)</f>
        <v>-2.91762373109868</v>
      </c>
      <c r="F38" t="s" s="26">
        <v>73</v>
      </c>
      <c r="G38" s="23" cm="1">
        <f t="array" ref="G38">VLOOKUP(F38,'Rating Lookup'!$A2:$B138,2,FALSE)</f>
        <v>-0.42667333775956</v>
      </c>
      <c r="H38" t="s" s="26">
        <v>33</v>
      </c>
      <c r="I38" s="23" cm="1">
        <f t="array" ref="I38">VLOOKUP(H38,'Rating Lookup'!$A2:$B138,2,FALSE)</f>
        <v>3.47491832350742</v>
      </c>
      <c r="J38" t="s" s="26">
        <v>51</v>
      </c>
      <c r="K38" s="23" cm="1">
        <f t="array" ref="K38">VLOOKUP(J38,'Rating Lookup'!$A2:$B138,2,FALSE)</f>
        <v>1.92271517987119</v>
      </c>
      <c r="L38" t="s" s="26">
        <v>117</v>
      </c>
      <c r="M38" s="23" cm="1">
        <f t="array" ref="M38">VLOOKUP(L38,'Rating Lookup'!$A2:$B138,2,FALSE)</f>
        <v>-3.77709009717078</v>
      </c>
      <c r="N38" t="s" s="26">
        <v>108</v>
      </c>
      <c r="O38" s="23" cm="1">
        <f t="array" ref="O38">VLOOKUP(N38,'Rating Lookup'!$A2:$B138,2,FALSE)</f>
        <v>-2.91762373109868</v>
      </c>
      <c r="P38" s="23" cm="1">
        <f t="array" ref="P38">AVERAGE(C38,E38,G38,I38,K38,M38,O38)</f>
        <v>-0.433590881833097</v>
      </c>
    </row>
    <row r="39" ht="13.55" customHeight="1">
      <c r="A39" t="s" s="26">
        <v>27</v>
      </c>
      <c r="B39" t="s" s="26">
        <v>121</v>
      </c>
      <c r="C39" s="23" cm="1">
        <f t="array" ref="C39">VLOOKUP(B39,'Rating Lookup'!$A2:$B138,2,FALSE)</f>
        <v>-4.08640151456241</v>
      </c>
      <c r="D39" t="s" s="26">
        <v>34</v>
      </c>
      <c r="E39" s="23" cm="1">
        <f t="array" ref="E39">VLOOKUP(D39,'Rating Lookup'!$A2:$B138,2,FALSE)</f>
        <v>3.46082209671099</v>
      </c>
      <c r="F39" t="s" s="26">
        <v>119</v>
      </c>
      <c r="G39" s="23" cm="1">
        <f t="array" ref="G39">VLOOKUP(F39,'Rating Lookup'!$A2:$B138,2,FALSE)</f>
        <v>-3.95691937561155</v>
      </c>
      <c r="H39" t="s" s="26">
        <v>53</v>
      </c>
      <c r="I39" s="23" cm="1">
        <f t="array" ref="I39">VLOOKUP(H39,'Rating Lookup'!$A2:$B138,2,FALSE)</f>
        <v>1.80226153055653</v>
      </c>
      <c r="J39" t="s" s="26">
        <v>95</v>
      </c>
      <c r="K39" s="23" cm="1">
        <f t="array" ref="K39">VLOOKUP(J39,'Rating Lookup'!$A2:$B138,2,FALSE)</f>
        <v>-1.92319740027882</v>
      </c>
      <c r="L39" t="s" s="26">
        <v>52</v>
      </c>
      <c r="M39" s="23" cm="1">
        <f t="array" ref="M39">VLOOKUP(L39,'Rating Lookup'!$A2:$B138,2,FALSE)</f>
        <v>1.88863509001956</v>
      </c>
      <c r="N39" t="s" s="26">
        <v>111</v>
      </c>
      <c r="O39" s="23" cm="1">
        <f t="array" ref="O39">VLOOKUP(N39,'Rating Lookup'!$A2:$B138,2,FALSE)</f>
        <v>-3.28135612625608</v>
      </c>
      <c r="P39" s="23" cm="1">
        <f t="array" ref="P39">AVERAGE(C39,E39,G39,I39,K39,M39,O39)</f>
        <v>-0.870879385631683</v>
      </c>
    </row>
    <row r="40" ht="13.55" customHeight="1">
      <c r="A40" t="s" s="26">
        <v>97</v>
      </c>
      <c r="B40" t="s" s="26">
        <v>64</v>
      </c>
      <c r="C40" s="23" cm="1">
        <f t="array" ref="C40">VLOOKUP(B40,'Rating Lookup'!$A2:$B138,2,FALSE)</f>
        <v>0.5861765857014</v>
      </c>
      <c r="D40" t="s" s="26">
        <v>33</v>
      </c>
      <c r="E40" s="23" cm="1">
        <f t="array" ref="E40">VLOOKUP(D40,'Rating Lookup'!$A2:$B138,2,FALSE)</f>
        <v>3.47491832350742</v>
      </c>
      <c r="F40" t="s" s="26">
        <v>52</v>
      </c>
      <c r="G40" s="23" cm="1">
        <f t="array" ref="G40">VLOOKUP(F40,'Rating Lookup'!$A2:$B138,2,FALSE)</f>
        <v>1.88863509001956</v>
      </c>
      <c r="H40" t="s" s="26">
        <v>113</v>
      </c>
      <c r="I40" s="23" cm="1">
        <f t="array" ref="I40">VLOOKUP(H40,'Rating Lookup'!$A2:$B138,2,FALSE)</f>
        <v>-3.33099720766006</v>
      </c>
      <c r="J40" t="s" s="26">
        <v>16</v>
      </c>
      <c r="K40" s="23" cm="1">
        <f t="array" ref="K40">VLOOKUP(J40,'Rating Lookup'!$A2:$B138,2,FALSE)</f>
        <v>5.27483839422214</v>
      </c>
      <c r="L40" t="s" s="26">
        <v>77</v>
      </c>
      <c r="M40" s="23" cm="1">
        <f t="array" ref="M40">VLOOKUP(L40,'Rating Lookup'!$A2:$B138,2,FALSE)</f>
        <v>-0.54225690934153</v>
      </c>
      <c r="N40" t="s" s="26">
        <v>51</v>
      </c>
      <c r="O40" s="23" cm="1">
        <f t="array" ref="O40">VLOOKUP(N40,'Rating Lookup'!$A2:$B138,2,FALSE)</f>
        <v>1.92271517987119</v>
      </c>
      <c r="P40" s="23" cm="1">
        <f t="array" ref="P40">AVERAGE(C40,E40,G40,I40,K40,M40,O40)</f>
        <v>1.32486135090287</v>
      </c>
    </row>
    <row r="41" ht="13.55" customHeight="1">
      <c r="A41" t="s" s="26">
        <v>118</v>
      </c>
      <c r="B41" t="s" s="26">
        <v>29</v>
      </c>
      <c r="C41" s="23" cm="1">
        <f t="array" ref="C41">VLOOKUP(B41,'Rating Lookup'!$A2:$B138,2,FALSE)</f>
        <v>3.90358287595508</v>
      </c>
      <c r="D41" t="s" s="26">
        <v>79</v>
      </c>
      <c r="E41" s="23" cm="1">
        <f t="array" ref="E41">VLOOKUP(D41,'Rating Lookup'!$A2:$B138,2,FALSE)</f>
        <v>-0.836360098479986</v>
      </c>
      <c r="F41" t="s" s="26">
        <v>107</v>
      </c>
      <c r="G41" s="23" cm="1">
        <f t="array" ref="G41">VLOOKUP(F41,'Rating Lookup'!$A2:$B138,2,FALSE)</f>
        <v>-2.79254134979256</v>
      </c>
      <c r="H41" t="s" s="26">
        <v>96</v>
      </c>
      <c r="I41" s="23" cm="1">
        <f t="array" ref="I41">VLOOKUP(H41,'Rating Lookup'!$A2:$B138,2,FALSE)</f>
        <v>-1.92985341790185</v>
      </c>
      <c r="J41" t="s" s="26">
        <v>61</v>
      </c>
      <c r="K41" s="23" cm="1">
        <f t="array" ref="K41">VLOOKUP(J41,'Rating Lookup'!$A2:$B138,2,FALSE)</f>
        <v>0.7599191252438799</v>
      </c>
      <c r="L41" t="s" s="26">
        <v>92</v>
      </c>
      <c r="M41" s="23" cm="1">
        <f t="array" ref="M41">VLOOKUP(L41,'Rating Lookup'!$A2:$B138,2,FALSE)</f>
        <v>-1.87051168400926</v>
      </c>
      <c r="N41" t="s" s="26">
        <v>74</v>
      </c>
      <c r="O41" s="23" cm="1">
        <f t="array" ref="O41">VLOOKUP(N41,'Rating Lookup'!$A2:$B138,2,FALSE)</f>
        <v>-0.46501955700663</v>
      </c>
      <c r="P41" s="23" cm="1">
        <f t="array" ref="P41">AVERAGE(C41,E41,G41,I41,K41,M41,O41)</f>
        <v>-0.461540586570189</v>
      </c>
    </row>
    <row r="42" ht="13.55" customHeight="1">
      <c r="A42" t="s" s="26">
        <v>19</v>
      </c>
      <c r="B42" t="s" s="26">
        <v>32</v>
      </c>
      <c r="C42" s="23" cm="1">
        <f t="array" ref="C42">VLOOKUP(B42,'Rating Lookup'!$A2:$B138,2,FALSE)</f>
        <v>3.57260180896642</v>
      </c>
      <c r="D42" t="s" s="26">
        <v>37</v>
      </c>
      <c r="E42" s="23" cm="1">
        <f t="array" ref="E42">VLOOKUP(D42,'Rating Lookup'!$A2:$B138,2,FALSE)</f>
        <v>3.24335785314622</v>
      </c>
      <c r="F42" t="s" s="26">
        <v>121</v>
      </c>
      <c r="G42" s="23" cm="1">
        <f t="array" ref="G42">VLOOKUP(F42,'Rating Lookup'!$A2:$B138,2,FALSE)</f>
        <v>-4.08640151456241</v>
      </c>
      <c r="H42" t="s" s="26">
        <v>75</v>
      </c>
      <c r="I42" s="23" cm="1">
        <f t="array" ref="I42">VLOOKUP(H42,'Rating Lookup'!$A2:$B138,2,FALSE)</f>
        <v>-0.47110027727993</v>
      </c>
      <c r="J42" t="s" s="26">
        <v>108</v>
      </c>
      <c r="K42" s="23" cm="1">
        <f t="array" ref="K42">VLOOKUP(J42,'Rating Lookup'!$A2:$B138,2,FALSE)</f>
        <v>-2.91762373109868</v>
      </c>
      <c r="L42" t="s" s="26">
        <v>63</v>
      </c>
      <c r="M42" s="23" cm="1">
        <f t="array" ref="M42">VLOOKUP(L42,'Rating Lookup'!$A2:$B138,2,FALSE)</f>
        <v>0.59579451619031</v>
      </c>
      <c r="N42" t="s" s="26">
        <v>115</v>
      </c>
      <c r="O42" s="23" cm="1">
        <f t="array" ref="O42">VLOOKUP(N42,'Rating Lookup'!$A2:$B138,2,FALSE)</f>
        <v>-3.65935390300287</v>
      </c>
      <c r="P42" s="23" cm="1">
        <f t="array" ref="P42">AVERAGE(C42,E42,G42,I42,K42,M42,O42)</f>
        <v>-0.531817892520134</v>
      </c>
    </row>
    <row r="43" ht="13.55" customHeight="1">
      <c r="A43" t="s" s="26">
        <v>61</v>
      </c>
      <c r="B43" t="s" s="26">
        <v>139</v>
      </c>
      <c r="C43" s="23" cm="1">
        <f t="array" ref="C43">VLOOKUP(B43,'Rating Lookup'!$A2:$B138,2,FALSE)</f>
        <v>-7.85541016002437</v>
      </c>
      <c r="D43" t="s" s="26">
        <v>77</v>
      </c>
      <c r="E43" s="23" cm="1">
        <f t="array" ref="E43">VLOOKUP(D43,'Rating Lookup'!$A2:$B138,2,FALSE)</f>
        <v>-0.54225690934153</v>
      </c>
      <c r="F43" t="s" s="26">
        <v>92</v>
      </c>
      <c r="G43" s="23" cm="1">
        <f t="array" ref="G43">VLOOKUP(F43,'Rating Lookup'!$A2:$B138,2,FALSE)</f>
        <v>-1.87051168400926</v>
      </c>
      <c r="H43" t="s" s="26">
        <v>112</v>
      </c>
      <c r="I43" s="23" cm="1">
        <f t="array" ref="I43">VLOOKUP(H43,'Rating Lookup'!$A2:$B138,2,FALSE)</f>
        <v>-3.30058825776286</v>
      </c>
      <c r="J43" t="s" s="26">
        <v>118</v>
      </c>
      <c r="K43" s="23" cm="1">
        <f t="array" ref="K43">VLOOKUP(J43,'Rating Lookup'!$A2:$B138,2,FALSE)</f>
        <v>-3.83643338464872</v>
      </c>
      <c r="L43" t="s" s="26">
        <v>137</v>
      </c>
      <c r="M43" s="23" cm="1">
        <f t="array" ref="M43">VLOOKUP(L43,'Rating Lookup'!$A2:$B138,2,FALSE)</f>
        <v>-6.85729246652121</v>
      </c>
      <c r="N43" t="s" s="26">
        <v>107</v>
      </c>
      <c r="O43" s="23" cm="1">
        <f t="array" ref="O43">VLOOKUP(N43,'Rating Lookup'!$A2:$B138,2,FALSE)</f>
        <v>-2.79254134979256</v>
      </c>
      <c r="P43" s="23" cm="1">
        <f t="array" ref="P43">AVERAGE(C43,E43,G43,I43,K43,M43,O43)</f>
        <v>-3.86500488744293</v>
      </c>
    </row>
    <row r="44" ht="13.55" customHeight="1">
      <c r="A44" t="s" s="26">
        <v>41</v>
      </c>
      <c r="B44" t="s" s="26">
        <v>136</v>
      </c>
      <c r="C44" s="23" cm="1">
        <f t="array" ref="C44">VLOOKUP(B44,'Rating Lookup'!$A2:$B138,2,FALSE)</f>
        <v>-5.94609839358734</v>
      </c>
      <c r="D44" t="s" s="26">
        <v>102</v>
      </c>
      <c r="E44" s="23" cm="1">
        <f t="array" ref="E44">VLOOKUP(D44,'Rating Lookup'!$A2:$B138,2,FALSE)</f>
        <v>-2.53885665448911</v>
      </c>
      <c r="F44" t="s" s="26">
        <v>31</v>
      </c>
      <c r="G44" s="23" cm="1">
        <f t="array" ref="G44">VLOOKUP(F44,'Rating Lookup'!$A2:$B138,2,FALSE)</f>
        <v>3.65492759905113</v>
      </c>
      <c r="H44" t="s" s="26">
        <v>42</v>
      </c>
      <c r="I44" s="23" cm="1">
        <f t="array" ref="I44">VLOOKUP(H44,'Rating Lookup'!$A2:$B138,2,FALSE)</f>
        <v>2.74320770982259</v>
      </c>
      <c r="J44" t="s" s="26">
        <v>13</v>
      </c>
      <c r="K44" s="23" cm="1">
        <f t="array" ref="K44">VLOOKUP(J44,'Rating Lookup'!$A2:$B138,2,FALSE)</f>
        <v>5.59129696346212</v>
      </c>
      <c r="L44" t="s" s="26">
        <v>132</v>
      </c>
      <c r="M44" s="23" cm="1">
        <f t="array" ref="M44">VLOOKUP(L44,'Rating Lookup'!$A2:$B138,2,FALSE)</f>
        <v>-5.53252093819443</v>
      </c>
      <c r="N44" t="s" s="26">
        <v>59</v>
      </c>
      <c r="O44" s="23" cm="1">
        <f t="array" ref="O44">VLOOKUP(N44,'Rating Lookup'!$A2:$B138,2,FALSE)</f>
        <v>1.35598510611147</v>
      </c>
      <c r="P44" s="23" cm="1">
        <f t="array" ref="P44">AVERAGE(C44,E44,G44,I44,K44,M44,O44)</f>
        <v>-0.0960083725462243</v>
      </c>
    </row>
    <row r="45" ht="13.55" customHeight="1">
      <c r="A45" t="s" s="26">
        <v>23</v>
      </c>
      <c r="B45" t="s" s="26">
        <v>124</v>
      </c>
      <c r="C45" s="23" cm="1">
        <f t="array" ref="C45">VLOOKUP(B45,'Rating Lookup'!$A2:$B138,2,FALSE)</f>
        <v>-4.3473535064778</v>
      </c>
      <c r="D45" t="s" s="26">
        <v>126</v>
      </c>
      <c r="E45" s="23" cm="1">
        <f t="array" ref="E45">VLOOKUP(D45,'Rating Lookup'!$A2:$B138,2,FALSE)</f>
        <v>-4.4638143553882</v>
      </c>
      <c r="F45" t="s" s="26">
        <v>50</v>
      </c>
      <c r="G45" s="23" cm="1">
        <f t="array" ref="G45">VLOOKUP(F45,'Rating Lookup'!$A2:$B138,2,FALSE)</f>
        <v>1.94954402902408</v>
      </c>
      <c r="H45" t="s" s="26">
        <v>10</v>
      </c>
      <c r="I45" s="23" cm="1">
        <f t="array" ref="I45">VLOOKUP(H45,'Rating Lookup'!$A2:$B138,2,FALSE)</f>
        <v>5.98822025778287</v>
      </c>
      <c r="J45" t="s" s="26">
        <v>91</v>
      </c>
      <c r="K45" s="23" cm="1">
        <f t="array" ref="K45">VLOOKUP(J45,'Rating Lookup'!$A2:$B138,2,FALSE)</f>
        <v>-1.86915335849158</v>
      </c>
      <c r="L45" t="s" s="26">
        <v>28</v>
      </c>
      <c r="M45" s="23" cm="1">
        <f t="array" ref="M45">VLOOKUP(L45,'Rating Lookup'!$A2:$B138,2,FALSE)</f>
        <v>3.94267847649009</v>
      </c>
      <c r="N45" t="s" s="26">
        <v>10</v>
      </c>
      <c r="O45" s="23" cm="1">
        <f t="array" ref="O45">VLOOKUP(N45,'Rating Lookup'!$A2:$B138,2,FALSE)</f>
        <v>5.98822025778287</v>
      </c>
      <c r="P45" s="23" cm="1">
        <f t="array" ref="P45">AVERAGE(C45,E45,G45,I45,K45,M45,O45)</f>
        <v>1.02690597153176</v>
      </c>
    </row>
    <row r="46" ht="13.55" customHeight="1">
      <c r="A46" t="s" s="26">
        <v>112</v>
      </c>
      <c r="B46" t="s" s="26">
        <v>85</v>
      </c>
      <c r="C46" s="23" cm="1">
        <f t="array" ref="C46">VLOOKUP(B46,'Rating Lookup'!$A2:$B138,2,FALSE)</f>
        <v>-1.16950431848081</v>
      </c>
      <c r="D46" t="s" s="26">
        <v>17</v>
      </c>
      <c r="E46" s="23" cm="1">
        <f t="array" ref="E46">VLOOKUP(D46,'Rating Lookup'!$A2:$B138,2,FALSE)</f>
        <v>5.22830415963158</v>
      </c>
      <c r="F46" t="s" s="26">
        <v>28</v>
      </c>
      <c r="G46" s="23" cm="1">
        <f t="array" ref="G46">VLOOKUP(F46,'Rating Lookup'!$A2:$B138,2,FALSE)</f>
        <v>3.94267847649009</v>
      </c>
      <c r="H46" t="s" s="26">
        <v>61</v>
      </c>
      <c r="I46" s="23" cm="1">
        <f t="array" ref="I46">VLOOKUP(H46,'Rating Lookup'!$A2:$B138,2,FALSE)</f>
        <v>0.7599191252438799</v>
      </c>
      <c r="J46" t="s" s="26">
        <v>26</v>
      </c>
      <c r="K46" s="23" cm="1">
        <f t="array" ref="K46">VLOOKUP(J46,'Rating Lookup'!$A2:$B138,2,FALSE)</f>
        <v>4.01425721966897</v>
      </c>
      <c r="L46" t="s" s="26">
        <v>138</v>
      </c>
      <c r="M46" s="23" cm="1">
        <f t="array" ref="M46">VLOOKUP(L46,'Rating Lookup'!$A2:$B138,2,FALSE)</f>
        <v>-7.42780318353212</v>
      </c>
      <c r="N46" t="s" s="26">
        <v>11</v>
      </c>
      <c r="O46" s="23" cm="1">
        <f t="array" ref="O46">VLOOKUP(N46,'Rating Lookup'!$A2:$B138,2,FALSE)</f>
        <v>5.67199536229164</v>
      </c>
      <c r="P46" s="23" cm="1">
        <f t="array" ref="P46">AVERAGE(C46,E46,G46,I46,K46,M46,O46)</f>
        <v>1.57426383447332</v>
      </c>
    </row>
    <row r="47" ht="13.55" customHeight="1">
      <c r="A47" t="s" s="26">
        <v>111</v>
      </c>
      <c r="B47" t="s" s="26">
        <v>71</v>
      </c>
      <c r="C47" s="23" cm="1">
        <f t="array" ref="C47">VLOOKUP(B47,'Rating Lookup'!$A2:$B138,2,FALSE)</f>
        <v>0.018556443215437</v>
      </c>
      <c r="D47" t="s" s="26">
        <v>38</v>
      </c>
      <c r="E47" s="23" cm="1">
        <f t="array" ref="E47">VLOOKUP(D47,'Rating Lookup'!$A2:$B138,2,FALSE)</f>
        <v>3.19465323054226</v>
      </c>
      <c r="F47" t="s" s="26">
        <v>33</v>
      </c>
      <c r="G47" s="23" cm="1">
        <f t="array" ref="G47">VLOOKUP(F47,'Rating Lookup'!$A2:$B138,2,FALSE)</f>
        <v>3.47491832350742</v>
      </c>
      <c r="H47" t="s" s="26">
        <v>109</v>
      </c>
      <c r="I47" s="23" cm="1">
        <f t="array" ref="I47">VLOOKUP(H47,'Rating Lookup'!$A2:$B138,2,FALSE)</f>
        <v>-3.17082421974611</v>
      </c>
      <c r="J47" t="s" s="26">
        <v>72</v>
      </c>
      <c r="K47" s="23" cm="1">
        <f t="array" ref="K47">VLOOKUP(J47,'Rating Lookup'!$A2:$B138,2,FALSE)</f>
        <v>-0.11442308333701</v>
      </c>
      <c r="L47" t="s" s="26">
        <v>68</v>
      </c>
      <c r="M47" s="23" cm="1">
        <f t="array" ref="M47">VLOOKUP(L47,'Rating Lookup'!$A2:$B138,2,FALSE)</f>
        <v>0.248638585007207</v>
      </c>
      <c r="N47" t="s" s="26">
        <v>27</v>
      </c>
      <c r="O47" s="23" cm="1">
        <f t="array" ref="O47">VLOOKUP(N47,'Rating Lookup'!$A2:$B138,2,FALSE)</f>
        <v>4.00435455050306</v>
      </c>
      <c r="P47" s="23" cm="1">
        <f t="array" ref="P47">AVERAGE(C47,E47,G47,I47,K47,M47,O47)</f>
        <v>1.09369626138461</v>
      </c>
    </row>
    <row r="48" ht="13.55" customHeight="1">
      <c r="A48" t="s" s="26">
        <v>20</v>
      </c>
      <c r="B48" t="s" s="26">
        <v>14</v>
      </c>
      <c r="C48" s="23" cm="1">
        <f t="array" ref="C48">VLOOKUP(B48,'Rating Lookup'!$A2:$B138,2,FALSE)</f>
        <v>5.51360480483848</v>
      </c>
      <c r="D48" t="s" s="26">
        <v>55</v>
      </c>
      <c r="E48" s="23" cm="1">
        <f t="array" ref="E48">VLOOKUP(D48,'Rating Lookup'!$A2:$B138,2,FALSE)</f>
        <v>1.61968253185873</v>
      </c>
      <c r="F48" t="s" s="26">
        <v>16</v>
      </c>
      <c r="G48" s="23" cm="1">
        <f t="array" ref="G48">VLOOKUP(F48,'Rating Lookup'!$A2:$B138,2,FALSE)</f>
        <v>5.27483839422214</v>
      </c>
      <c r="H48" t="s" s="26">
        <v>123</v>
      </c>
      <c r="I48" s="23" cm="1">
        <f t="array" ref="I48">VLOOKUP(H48,'Rating Lookup'!$A2:$B138,2,FALSE)</f>
        <v>-4.19472030187331</v>
      </c>
      <c r="J48" t="s" s="26">
        <v>11</v>
      </c>
      <c r="K48" s="23" cm="1">
        <f t="array" ref="K48">VLOOKUP(J48,'Rating Lookup'!$A2:$B138,2,FALSE)</f>
        <v>5.67199536229164</v>
      </c>
      <c r="L48" t="s" s="26">
        <v>76</v>
      </c>
      <c r="M48" s="23" cm="1">
        <f t="array" ref="M48">VLOOKUP(L48,'Rating Lookup'!$A2:$B138,2,FALSE)</f>
        <v>-0.53831981595041</v>
      </c>
      <c r="N48" t="s" s="26">
        <v>109</v>
      </c>
      <c r="O48" s="23" cm="1">
        <f t="array" ref="O48">VLOOKUP(N48,'Rating Lookup'!$A2:$B138,2,FALSE)</f>
        <v>-3.17082421974611</v>
      </c>
      <c r="P48" s="23" cm="1">
        <f t="array" ref="P48">AVERAGE(C48,E48,G48,I48,K48,M48,O48)</f>
        <v>1.45375096509159</v>
      </c>
    </row>
    <row r="49" ht="13.55" customHeight="1">
      <c r="A49" t="s" s="26">
        <v>67</v>
      </c>
      <c r="B49" t="s" s="26">
        <v>131</v>
      </c>
      <c r="C49" s="23" cm="1">
        <f t="array" ref="C49">VLOOKUP(B49,'Rating Lookup'!$A2:$B138,2,FALSE)</f>
        <v>-5.2111720771302</v>
      </c>
      <c r="D49" t="s" s="26">
        <v>104</v>
      </c>
      <c r="E49" s="23" cm="1">
        <f t="array" ref="E49">VLOOKUP(D49,'Rating Lookup'!$A2:$B138,2,FALSE)</f>
        <v>-2.58914252844136</v>
      </c>
      <c r="F49" t="s" s="26">
        <v>126</v>
      </c>
      <c r="G49" s="23" cm="1">
        <f t="array" ref="G49">VLOOKUP(F49,'Rating Lookup'!$A2:$B138,2,FALSE)</f>
        <v>-4.4638143553882</v>
      </c>
      <c r="H49" t="s" s="26">
        <v>18</v>
      </c>
      <c r="I49" s="23" cm="1">
        <f t="array" ref="I49">VLOOKUP(H49,'Rating Lookup'!$A2:$B138,2,FALSE)</f>
        <v>5.0922019441117</v>
      </c>
      <c r="J49" t="s" s="26">
        <v>120</v>
      </c>
      <c r="K49" s="23" cm="1">
        <f t="array" ref="K49">VLOOKUP(J49,'Rating Lookup'!$A2:$B138,2,FALSE)</f>
        <v>-4.02321925506876</v>
      </c>
      <c r="L49" t="s" s="26">
        <v>54</v>
      </c>
      <c r="M49" s="23" cm="1">
        <f t="array" ref="M49">VLOOKUP(L49,'Rating Lookup'!$A2:$B138,2,FALSE)</f>
        <v>1.67670283281755</v>
      </c>
      <c r="N49" t="s" s="26">
        <v>32</v>
      </c>
      <c r="O49" s="23" cm="1">
        <f t="array" ref="O49">VLOOKUP(N49,'Rating Lookup'!$A2:$B138,2,FALSE)</f>
        <v>3.57260180896642</v>
      </c>
      <c r="P49" s="23" cm="1">
        <f t="array" ref="P49">AVERAGE(C49,E49,G49,I49,K49,M49,O49)</f>
        <v>-0.849405947161836</v>
      </c>
    </row>
    <row r="50" ht="13.55" customHeight="1">
      <c r="A50" t="s" s="26">
        <v>120</v>
      </c>
      <c r="B50" t="s" s="26">
        <v>53</v>
      </c>
      <c r="C50" s="23" cm="1">
        <f t="array" ref="C50">VLOOKUP(B50,'Rating Lookup'!$A2:$B138,2,FALSE)</f>
        <v>1.80226153055653</v>
      </c>
      <c r="D50" t="s" s="26">
        <v>63</v>
      </c>
      <c r="E50" s="23" cm="1">
        <f t="array" ref="E50">VLOOKUP(D50,'Rating Lookup'!$A2:$B138,2,FALSE)</f>
        <v>0.59579451619031</v>
      </c>
      <c r="F50" t="s" s="26">
        <v>35</v>
      </c>
      <c r="G50" s="23" cm="1">
        <f t="array" ref="G50">VLOOKUP(F50,'Rating Lookup'!$A2:$B138,2,FALSE)</f>
        <v>3.31512010809599</v>
      </c>
      <c r="H50" t="s" s="26">
        <v>77</v>
      </c>
      <c r="I50" s="23" cm="1">
        <f t="array" ref="I50">VLOOKUP(H50,'Rating Lookup'!$A2:$B138,2,FALSE)</f>
        <v>-0.54225690934153</v>
      </c>
      <c r="J50" t="s" s="26">
        <v>67</v>
      </c>
      <c r="K50" s="23" cm="1">
        <f t="array" ref="K50">VLOOKUP(J50,'Rating Lookup'!$A2:$B138,2,FALSE)</f>
        <v>0.275678160475329</v>
      </c>
      <c r="L50" t="s" s="26">
        <v>22</v>
      </c>
      <c r="M50" s="23" cm="1">
        <f t="array" ref="M50">VLOOKUP(L50,'Rating Lookup'!$A2:$B138,2,FALSE)</f>
        <v>4.55887600155886</v>
      </c>
      <c r="N50" t="s" s="26">
        <v>77</v>
      </c>
      <c r="O50" s="23" cm="1">
        <f t="array" ref="O50">VLOOKUP(N50,'Rating Lookup'!$A2:$B138,2,FALSE)</f>
        <v>-0.54225690934153</v>
      </c>
      <c r="P50" s="23" cm="1">
        <f t="array" ref="P50">AVERAGE(C50,E50,G50,I50,K50,M50,O50)</f>
        <v>1.35188807117057</v>
      </c>
    </row>
    <row r="51" ht="13.55" customHeight="1">
      <c r="A51" t="s" s="26">
        <v>129</v>
      </c>
      <c r="B51" t="s" s="26">
        <v>140</v>
      </c>
      <c r="C51" s="23" cm="1">
        <f t="array" ref="C51">VLOOKUP(B51,'Rating Lookup'!$A2:$B138,2,FALSE)</f>
        <v>-9.31654300434057</v>
      </c>
      <c r="D51" t="s" s="26">
        <v>25</v>
      </c>
      <c r="E51" s="23" cm="1">
        <f t="array" ref="E51">VLOOKUP(D51,'Rating Lookup'!$A2:$B138,2,FALSE)</f>
        <v>4.26570683475592</v>
      </c>
      <c r="F51" t="s" s="26">
        <v>56</v>
      </c>
      <c r="G51" s="23" cm="1">
        <f t="array" ref="G51">VLOOKUP(F51,'Rating Lookup'!$A2:$B138,2,FALSE)</f>
        <v>1.60624122091741</v>
      </c>
      <c r="H51" t="s" s="26">
        <v>45</v>
      </c>
      <c r="I51" s="23" cm="1">
        <f t="array" ref="I51">VLOOKUP(H51,'Rating Lookup'!$A2:$B138,2,FALSE)</f>
        <v>2.3773723661694</v>
      </c>
      <c r="J51" t="s" s="26">
        <v>69</v>
      </c>
      <c r="K51" s="23" cm="1">
        <f t="array" ref="K51">VLOOKUP(J51,'Rating Lookup'!$A2:$B138,2,FALSE)</f>
        <v>0.20014218519344</v>
      </c>
      <c r="L51" t="s" s="26">
        <v>84</v>
      </c>
      <c r="M51" s="23" cm="1">
        <f t="array" ref="M51">VLOOKUP(L51,'Rating Lookup'!$A2:$B138,2,FALSE)</f>
        <v>-1.04555922522911</v>
      </c>
      <c r="N51" t="s" s="26">
        <v>65</v>
      </c>
      <c r="O51" s="23" cm="1">
        <f t="array" ref="O51">VLOOKUP(N51,'Rating Lookup'!$A2:$B138,2,FALSE)</f>
        <v>0.5243959583097469</v>
      </c>
      <c r="P51" s="23" cm="1">
        <f t="array" ref="P51">AVERAGE(C51,E51,G51,I51,K51,M51,O51)</f>
        <v>-0.198320523460538</v>
      </c>
    </row>
    <row r="52" ht="13.55" customHeight="1">
      <c r="A52" t="s" s="26">
        <v>57</v>
      </c>
      <c r="B52" t="s" s="26">
        <v>132</v>
      </c>
      <c r="C52" s="23" cm="1">
        <f t="array" ref="C52">VLOOKUP(B52,'Rating Lookup'!$A2:$B138,2,FALSE)</f>
        <v>-5.53252093819443</v>
      </c>
      <c r="D52" t="s" s="26">
        <v>10</v>
      </c>
      <c r="E52" s="23" cm="1">
        <f t="array" ref="E52">VLOOKUP(D52,'Rating Lookup'!$A2:$B138,2,FALSE)</f>
        <v>5.98822025778287</v>
      </c>
      <c r="F52" t="s" s="26">
        <v>65</v>
      </c>
      <c r="G52" s="23" cm="1">
        <f t="array" ref="G52">VLOOKUP(F52,'Rating Lookup'!$A2:$B138,2,FALSE)</f>
        <v>0.5243959583097469</v>
      </c>
      <c r="H52" t="s" s="26">
        <v>122</v>
      </c>
      <c r="I52" s="23" cm="1">
        <f t="array" ref="I52">VLOOKUP(H52,'Rating Lookup'!$A2:$B138,2,FALSE)</f>
        <v>-4.1152424920869</v>
      </c>
      <c r="J52" t="s" s="26">
        <v>24</v>
      </c>
      <c r="K52" s="23" cm="1">
        <f t="array" ref="K52">VLOOKUP(J52,'Rating Lookup'!$A2:$B138,2,FALSE)</f>
        <v>4.31123264075225</v>
      </c>
      <c r="L52" t="s" s="26">
        <v>14</v>
      </c>
      <c r="M52" s="23" cm="1">
        <f t="array" ref="M52">VLOOKUP(L52,'Rating Lookup'!$A2:$B138,2,FALSE)</f>
        <v>5.51360480483848</v>
      </c>
      <c r="N52" t="s" s="26">
        <v>113</v>
      </c>
      <c r="O52" s="23" cm="1">
        <f t="array" ref="O52">VLOOKUP(N52,'Rating Lookup'!$A2:$B138,2,FALSE)</f>
        <v>-3.33099720766006</v>
      </c>
      <c r="P52" s="23" cm="1">
        <f t="array" ref="P52">AVERAGE(C52,E52,G52,I52,K52,M52,O52)</f>
        <v>0.479813289105994</v>
      </c>
    </row>
    <row r="53" ht="13.55" customHeight="1">
      <c r="A53" t="s" s="26">
        <v>31</v>
      </c>
      <c r="B53" t="s" s="26">
        <v>82</v>
      </c>
      <c r="C53" s="23" cm="1">
        <f t="array" ref="C53">VLOOKUP(B53,'Rating Lookup'!$A2:$B138,2,FALSE)</f>
        <v>-1.01281078608949</v>
      </c>
      <c r="D53" t="s" s="26">
        <v>9</v>
      </c>
      <c r="E53" s="23" cm="1">
        <f t="array" ref="E53">VLOOKUP(D53,'Rating Lookup'!$A2:$B138,2,FALSE)</f>
        <v>6.03187766748243</v>
      </c>
      <c r="F53" t="s" s="26">
        <v>41</v>
      </c>
      <c r="G53" s="23" cm="1">
        <f t="array" ref="G53">VLOOKUP(F53,'Rating Lookup'!$A2:$B138,2,FALSE)</f>
        <v>2.77908909331727</v>
      </c>
      <c r="H53" t="s" s="26">
        <v>38</v>
      </c>
      <c r="I53" s="23" cm="1">
        <f t="array" ref="I53">VLOOKUP(H53,'Rating Lookup'!$A2:$B138,2,FALSE)</f>
        <v>3.19465323054226</v>
      </c>
      <c r="J53" t="s" s="26">
        <v>82</v>
      </c>
      <c r="K53" s="23" cm="1">
        <f t="array" ref="K53">VLOOKUP(J53,'Rating Lookup'!$A2:$B138,2,FALSE)</f>
        <v>-1.01281078608949</v>
      </c>
      <c r="L53" t="s" s="26">
        <v>13</v>
      </c>
      <c r="M53" s="23" cm="1">
        <f t="array" ref="M53">VLOOKUP(L53,'Rating Lookup'!$A2:$B138,2,FALSE)</f>
        <v>5.59129696346212</v>
      </c>
      <c r="N53" t="s" s="26">
        <v>88</v>
      </c>
      <c r="O53" s="23" cm="1">
        <f t="array" ref="O53">VLOOKUP(N53,'Rating Lookup'!$A2:$B138,2,FALSE)</f>
        <v>-1.35956232001684</v>
      </c>
      <c r="P53" s="23" cm="1">
        <f t="array" ref="P53">AVERAGE(C53,E53,G53,I53,K53,M53,O53)</f>
        <v>2.03024758037261</v>
      </c>
    </row>
    <row r="54" ht="13.55" customHeight="1">
      <c r="A54" t="s" s="26">
        <v>90</v>
      </c>
      <c r="B54" t="s" s="26">
        <v>78</v>
      </c>
      <c r="C54" s="23" cm="1">
        <f t="array" ref="C54">VLOOKUP(B54,'Rating Lookup'!$A2:$B138,2,FALSE)</f>
        <v>-0.7722108176382</v>
      </c>
      <c r="D54" t="s" s="26">
        <v>35</v>
      </c>
      <c r="E54" s="23" cm="1">
        <f t="array" ref="E54">VLOOKUP(D54,'Rating Lookup'!$A2:$B138,2,FALSE)</f>
        <v>3.31512010809599</v>
      </c>
      <c r="F54" t="s" s="26">
        <v>37</v>
      </c>
      <c r="G54" s="23" cm="1">
        <f t="array" ref="G54">VLOOKUP(F54,'Rating Lookup'!$A2:$B138,2,FALSE)</f>
        <v>3.24335785314622</v>
      </c>
      <c r="H54" t="s" s="26">
        <v>72</v>
      </c>
      <c r="I54" s="23" cm="1">
        <f t="array" ref="I54">VLOOKUP(H54,'Rating Lookup'!$A2:$B138,2,FALSE)</f>
        <v>-0.11442308333701</v>
      </c>
      <c r="J54" t="s" s="26">
        <v>68</v>
      </c>
      <c r="K54" s="23" cm="1">
        <f t="array" ref="K54">VLOOKUP(J54,'Rating Lookup'!$A2:$B138,2,FALSE)</f>
        <v>0.248638585007207</v>
      </c>
      <c r="L54" t="s" s="26">
        <v>113</v>
      </c>
      <c r="M54" s="23" cm="1">
        <f t="array" ref="M54">VLOOKUP(L54,'Rating Lookup'!$A2:$B138,2,FALSE)</f>
        <v>-3.33099720766006</v>
      </c>
      <c r="N54" t="s" s="26">
        <v>124</v>
      </c>
      <c r="O54" s="23" cm="1">
        <f t="array" ref="O54">VLOOKUP(N54,'Rating Lookup'!$A2:$B138,2,FALSE)</f>
        <v>-4.3473535064778</v>
      </c>
      <c r="P54" s="23" cm="1">
        <f t="array" ref="P54">AVERAGE(C54,E54,G54,I54,K54,M54,O54)</f>
        <v>-0.251124009837665</v>
      </c>
    </row>
    <row r="55" ht="13.55" customHeight="1">
      <c r="A55" t="s" s="26">
        <v>94</v>
      </c>
      <c r="B55" t="s" s="26">
        <v>107</v>
      </c>
      <c r="C55" s="23" cm="1">
        <f t="array" ref="C55">VLOOKUP(B55,'Rating Lookup'!$A2:$B138,2,FALSE)</f>
        <v>-2.79254134979256</v>
      </c>
      <c r="D55" t="s" s="26">
        <v>45</v>
      </c>
      <c r="E55" s="23" cm="1">
        <f t="array" ref="E55">VLOOKUP(D55,'Rating Lookup'!$A2:$B138,2,FALSE)</f>
        <v>2.3773723661694</v>
      </c>
      <c r="F55" t="s" s="26">
        <v>86</v>
      </c>
      <c r="G55" s="23" cm="1">
        <f t="array" ref="G55">VLOOKUP(F55,'Rating Lookup'!$A2:$B138,2,FALSE)</f>
        <v>-1.16960524424737</v>
      </c>
      <c r="H55" t="s" s="26">
        <v>137</v>
      </c>
      <c r="I55" s="23" cm="1">
        <f t="array" ref="I55">VLOOKUP(H55,'Rating Lookup'!$A2:$B138,2,FALSE)</f>
        <v>-6.85729246652121</v>
      </c>
      <c r="J55" t="s" s="26">
        <v>58</v>
      </c>
      <c r="K55" s="23" cm="1">
        <f t="array" ref="K55">VLOOKUP(J55,'Rating Lookup'!$A2:$B138,2,FALSE)</f>
        <v>1.46004862122864</v>
      </c>
      <c r="L55" t="s" s="26">
        <v>30</v>
      </c>
      <c r="M55" s="23" cm="1">
        <f t="array" ref="M55">VLOOKUP(L55,'Rating Lookup'!$A2:$B138,2,FALSE)</f>
        <v>3.69943647894699</v>
      </c>
      <c r="N55" t="s" s="26">
        <v>100</v>
      </c>
      <c r="O55" s="23" cm="1">
        <f t="array" ref="O55">VLOOKUP(N55,'Rating Lookup'!$A2:$B138,2,FALSE)</f>
        <v>-2.2314514587537</v>
      </c>
      <c r="P55" s="23" cm="1">
        <f t="array" ref="P55">AVERAGE(C55,E55,G55,I55,K55,M55,O55)</f>
        <v>-0.787719007567116</v>
      </c>
    </row>
    <row r="56" ht="13.55" customHeight="1">
      <c r="A56" t="s" s="26">
        <v>88</v>
      </c>
      <c r="B56" t="s" s="26">
        <v>122</v>
      </c>
      <c r="C56" s="23" cm="1">
        <f t="array" ref="C56">VLOOKUP(B56,'Rating Lookup'!$A2:$B138,2,FALSE)</f>
        <v>-4.1152424920869</v>
      </c>
      <c r="D56" t="s" s="26">
        <v>92</v>
      </c>
      <c r="E56" s="23" cm="1">
        <f t="array" ref="E56">VLOOKUP(D56,'Rating Lookup'!$A2:$B138,2,FALSE)</f>
        <v>-1.87051168400926</v>
      </c>
      <c r="F56" t="s" s="26">
        <v>17</v>
      </c>
      <c r="G56" s="23" cm="1">
        <f t="array" ref="G56">VLOOKUP(F56,'Rating Lookup'!$A2:$B138,2,FALSE)</f>
        <v>5.22830415963158</v>
      </c>
      <c r="H56" t="s" s="26">
        <v>116</v>
      </c>
      <c r="I56" s="23" cm="1">
        <f t="array" ref="I56">VLOOKUP(H56,'Rating Lookup'!$A2:$B138,2,FALSE)</f>
        <v>-3.76562451732892</v>
      </c>
      <c r="J56" t="s" s="26">
        <v>80</v>
      </c>
      <c r="K56" s="23" cm="1">
        <f t="array" ref="K56">VLOOKUP(J56,'Rating Lookup'!$A2:$B138,2,FALSE)</f>
        <v>-0.84768132374283</v>
      </c>
      <c r="L56" t="s" s="26">
        <v>32</v>
      </c>
      <c r="M56" s="23" cm="1">
        <f t="array" ref="M56">VLOOKUP(L56,'Rating Lookup'!$A2:$B138,2,FALSE)</f>
        <v>3.57260180896642</v>
      </c>
      <c r="N56" t="s" s="26">
        <v>31</v>
      </c>
      <c r="O56" s="23" cm="1">
        <f t="array" ref="O56">VLOOKUP(N56,'Rating Lookup'!$A2:$B138,2,FALSE)</f>
        <v>3.65492759905113</v>
      </c>
      <c r="P56" s="23" cm="1">
        <f t="array" ref="P56">AVERAGE(C56,E56,G56,I56,K56,M56,O56)</f>
        <v>0.26525336435446</v>
      </c>
    </row>
    <row r="57" ht="13.55" customHeight="1">
      <c r="A57" t="s" s="26">
        <v>24</v>
      </c>
      <c r="B57" t="s" s="26">
        <v>43</v>
      </c>
      <c r="C57" s="23" cm="1">
        <f t="array" ref="C57">VLOOKUP(B57,'Rating Lookup'!$A2:$B138,2,FALSE)</f>
        <v>2.62817334380147</v>
      </c>
      <c r="D57" t="s" s="26">
        <v>43</v>
      </c>
      <c r="E57" s="23" cm="1">
        <f t="array" ref="E57">VLOOKUP(D57,'Rating Lookup'!$A2:$B138,2,FALSE)</f>
        <v>2.62817334380147</v>
      </c>
      <c r="F57" t="s" s="26">
        <v>103</v>
      </c>
      <c r="G57" s="23" cm="1">
        <f t="array" ref="G57">VLOOKUP(F57,'Rating Lookup'!$A2:$B138,2,FALSE)</f>
        <v>-2.57170378386919</v>
      </c>
      <c r="H57" t="s" s="26">
        <v>17</v>
      </c>
      <c r="I57" s="23" cm="1">
        <f t="array" ref="I57">VLOOKUP(H57,'Rating Lookup'!$A2:$B138,2,FALSE)</f>
        <v>5.22830415963158</v>
      </c>
      <c r="J57" t="s" s="26">
        <v>57</v>
      </c>
      <c r="K57" s="23" cm="1">
        <f t="array" ref="K57">VLOOKUP(J57,'Rating Lookup'!$A2:$B138,2,FALSE)</f>
        <v>1.60467129115595</v>
      </c>
      <c r="L57" t="s" s="26">
        <v>49</v>
      </c>
      <c r="M57" s="23" cm="1">
        <f t="array" ref="M57">VLOOKUP(L57,'Rating Lookup'!$A2:$B138,2,FALSE)</f>
        <v>2.02733086035033</v>
      </c>
      <c r="N57" t="s" s="26">
        <v>110</v>
      </c>
      <c r="O57" s="23" cm="1">
        <f t="array" ref="O57">VLOOKUP(N57,'Rating Lookup'!$A2:$B138,2,FALSE)</f>
        <v>-3.24214829876599</v>
      </c>
      <c r="P57" s="23" cm="1">
        <f t="array" ref="P57">AVERAGE(C57,E57,G57,I57,K57,M57,O57)</f>
        <v>1.18611441658652</v>
      </c>
    </row>
    <row r="58" ht="13.55" customHeight="1">
      <c r="A58" t="s" s="26">
        <v>84</v>
      </c>
      <c r="B58" t="s" s="26">
        <v>8</v>
      </c>
      <c r="C58" s="23" cm="1">
        <f t="array" ref="C58">VLOOKUP(B58,'Rating Lookup'!$A2:$B138,2,FALSE)</f>
        <v>6.10756515153678</v>
      </c>
      <c r="D58" t="s" s="26">
        <v>51</v>
      </c>
      <c r="E58" s="23" cm="1">
        <f t="array" ref="E58">VLOOKUP(D58,'Rating Lookup'!$A2:$B138,2,FALSE)</f>
        <v>1.92271517987119</v>
      </c>
      <c r="F58" t="s" s="26">
        <v>98</v>
      </c>
      <c r="G58" s="23" cm="1">
        <f t="array" ref="G58">VLOOKUP(F58,'Rating Lookup'!$A2:$B138,2,FALSE)</f>
        <v>-2.14818495614045</v>
      </c>
      <c r="H58" t="s" s="26">
        <v>36</v>
      </c>
      <c r="I58" s="23" cm="1">
        <f t="array" ref="I58">VLOOKUP(H58,'Rating Lookup'!$A2:$B138,2,FALSE)</f>
        <v>3.26105716610947</v>
      </c>
      <c r="J58" t="s" s="26">
        <v>47</v>
      </c>
      <c r="K58" s="23" cm="1">
        <f t="array" ref="K58">VLOOKUP(J58,'Rating Lookup'!$A2:$B138,2,FALSE)</f>
        <v>2.18077992877894</v>
      </c>
      <c r="L58" t="s" s="26">
        <v>129</v>
      </c>
      <c r="M58" s="23" cm="1">
        <f t="array" ref="M58">VLOOKUP(L58,'Rating Lookup'!$A2:$B138,2,FALSE)</f>
        <v>-4.82358776660641</v>
      </c>
      <c r="N58" t="s" s="26">
        <v>123</v>
      </c>
      <c r="O58" s="23" cm="1">
        <f t="array" ref="O58">VLOOKUP(N58,'Rating Lookup'!$A2:$B138,2,FALSE)</f>
        <v>-4.19472030187331</v>
      </c>
      <c r="P58" s="23" cm="1">
        <f t="array" ref="P58">AVERAGE(C58,E58,G58,I58,K58,M58,O58)</f>
        <v>0.329374914525173</v>
      </c>
    </row>
    <row r="59" ht="13.55" customHeight="1">
      <c r="A59" t="s" s="26">
        <v>65</v>
      </c>
      <c r="B59" t="s" s="26">
        <v>30</v>
      </c>
      <c r="C59" s="23" cm="1">
        <f t="array" ref="C59">VLOOKUP(B59,'Rating Lookup'!$A2:$B138,2,FALSE)</f>
        <v>3.69943647894699</v>
      </c>
      <c r="D59" t="s" s="26">
        <v>75</v>
      </c>
      <c r="E59" s="23" cm="1">
        <f t="array" ref="E59">VLOOKUP(D59,'Rating Lookup'!$A2:$B138,2,FALSE)</f>
        <v>-0.47110027727993</v>
      </c>
      <c r="F59" t="s" s="26">
        <v>57</v>
      </c>
      <c r="G59" s="23" cm="1">
        <f t="array" ref="G59">VLOOKUP(F59,'Rating Lookup'!$A2:$B138,2,FALSE)</f>
        <v>1.60467129115595</v>
      </c>
      <c r="H59" t="s" s="26">
        <v>95</v>
      </c>
      <c r="I59" s="23" cm="1">
        <f t="array" ref="I59">VLOOKUP(H59,'Rating Lookup'!$A2:$B138,2,FALSE)</f>
        <v>-1.92319740027882</v>
      </c>
      <c r="J59" t="s" s="26">
        <v>43</v>
      </c>
      <c r="K59" s="23" cm="1">
        <f t="array" ref="K59">VLOOKUP(J59,'Rating Lookup'!$A2:$B138,2,FALSE)</f>
        <v>2.62817334380147</v>
      </c>
      <c r="L59" t="s" s="26">
        <v>109</v>
      </c>
      <c r="M59" s="23" cm="1">
        <f t="array" ref="M59">VLOOKUP(L59,'Rating Lookup'!$A2:$B138,2,FALSE)</f>
        <v>-3.17082421974611</v>
      </c>
      <c r="N59" t="s" s="26">
        <v>129</v>
      </c>
      <c r="O59" s="23" cm="1">
        <f t="array" ref="O59">VLOOKUP(N59,'Rating Lookup'!$A2:$B138,2,FALSE)</f>
        <v>-4.82358776660641</v>
      </c>
      <c r="P59" s="23" cm="1">
        <f t="array" ref="P59">AVERAGE(C59,E59,G59,I59,K59,M59,O59)</f>
        <v>-0.350918364286694</v>
      </c>
    </row>
    <row r="60" ht="13.55" customHeight="1">
      <c r="A60" t="s" s="26">
        <v>55</v>
      </c>
      <c r="B60" t="s" s="26">
        <v>76</v>
      </c>
      <c r="C60" s="23" cm="1">
        <f t="array" ref="C60">VLOOKUP(B60,'Rating Lookup'!$A2:$B138,2,FALSE)</f>
        <v>-0.53831981595041</v>
      </c>
      <c r="D60" t="s" s="26">
        <v>20</v>
      </c>
      <c r="E60" s="23" cm="1">
        <f t="array" ref="E60">VLOOKUP(D60,'Rating Lookup'!$A2:$B138,2,FALSE)</f>
        <v>4.57875396195659</v>
      </c>
      <c r="F60" t="s" s="26">
        <v>124</v>
      </c>
      <c r="G60" s="23" cm="1">
        <f t="array" ref="G60">VLOOKUP(F60,'Rating Lookup'!$A2:$B138,2,FALSE)</f>
        <v>-4.3473535064778</v>
      </c>
      <c r="H60" t="s" s="26">
        <v>35</v>
      </c>
      <c r="I60" s="23" cm="1">
        <f t="array" ref="I60">VLOOKUP(H60,'Rating Lookup'!$A2:$B138,2,FALSE)</f>
        <v>3.31512010809599</v>
      </c>
      <c r="J60" t="s" s="26">
        <v>15</v>
      </c>
      <c r="K60" s="23" cm="1">
        <f t="array" ref="K60">VLOOKUP(J60,'Rating Lookup'!$A2:$B138,2,FALSE)</f>
        <v>5.46568762547505</v>
      </c>
      <c r="L60" t="s" s="26">
        <v>131</v>
      </c>
      <c r="M60" s="23" cm="1">
        <f t="array" ref="M60">VLOOKUP(L60,'Rating Lookup'!$A2:$B138,2,FALSE)</f>
        <v>-5.2111720771302</v>
      </c>
      <c r="N60" t="s" s="26">
        <v>69</v>
      </c>
      <c r="O60" s="23" cm="1">
        <f t="array" ref="O60">VLOOKUP(N60,'Rating Lookup'!$A2:$B138,2,FALSE)</f>
        <v>0.20014218519344</v>
      </c>
      <c r="P60" s="23" cm="1">
        <f t="array" ref="P60">AVERAGE(C60,E60,G60,I60,K60,M60,O60)</f>
        <v>0.494694068737523</v>
      </c>
    </row>
    <row r="61" ht="13.55" customHeight="1">
      <c r="A61" t="s" s="26">
        <v>18</v>
      </c>
      <c r="B61" t="s" s="26">
        <v>126</v>
      </c>
      <c r="C61" s="23" cm="1">
        <f t="array" ref="C61">VLOOKUP(B61,'Rating Lookup'!$A2:$B138,2,FALSE)</f>
        <v>-4.4638143553882</v>
      </c>
      <c r="D61" t="s" s="26">
        <v>116</v>
      </c>
      <c r="E61" s="23" cm="1">
        <f t="array" ref="E61">VLOOKUP(D61,'Rating Lookup'!$A2:$B138,2,FALSE)</f>
        <v>-3.76562451732892</v>
      </c>
      <c r="F61" t="s" s="26">
        <v>101</v>
      </c>
      <c r="G61" s="23" cm="1">
        <f t="array" ref="G61">VLOOKUP(F61,'Rating Lookup'!$A2:$B138,2,FALSE)</f>
        <v>-2.49383104131239</v>
      </c>
      <c r="H61" t="s" s="26">
        <v>67</v>
      </c>
      <c r="I61" s="23" cm="1">
        <f t="array" ref="I61">VLOOKUP(H61,'Rating Lookup'!$A2:$B138,2,FALSE)</f>
        <v>0.275678160475329</v>
      </c>
      <c r="J61" t="s" s="26">
        <v>107</v>
      </c>
      <c r="K61" s="23" cm="1">
        <f t="array" ref="K61">VLOOKUP(J61,'Rating Lookup'!$A2:$B138,2,FALSE)</f>
        <v>-2.79254134979256</v>
      </c>
      <c r="L61" t="s" s="26">
        <v>107</v>
      </c>
      <c r="M61" s="23" cm="1">
        <f t="array" ref="M61">VLOOKUP(L61,'Rating Lookup'!$A2:$B138,2,FALSE)</f>
        <v>-2.79254134979256</v>
      </c>
      <c r="N61" t="s" s="26">
        <v>53</v>
      </c>
      <c r="O61" s="23" cm="1">
        <f t="array" ref="O61">VLOOKUP(N61,'Rating Lookup'!$A2:$B138,2,FALSE)</f>
        <v>1.80226153055653</v>
      </c>
      <c r="P61" s="23" cm="1">
        <f t="array" ref="P61">AVERAGE(C61,E61,G61,I61,K61,M61,O61)</f>
        <v>-2.03291613179754</v>
      </c>
    </row>
    <row r="62" ht="13.55" customHeight="1">
      <c r="A62" t="s" s="26">
        <v>87</v>
      </c>
      <c r="B62" t="s" s="26">
        <v>125</v>
      </c>
      <c r="C62" s="23" cm="1">
        <f t="array" ref="C62">VLOOKUP(B62,'Rating Lookup'!$A2:$B138,2,FALSE)</f>
        <v>-4.34735517155842</v>
      </c>
      <c r="D62" t="s" s="26">
        <v>22</v>
      </c>
      <c r="E62" s="23" cm="1">
        <f t="array" ref="E62">VLOOKUP(D62,'Rating Lookup'!$A2:$B138,2,FALSE)</f>
        <v>4.55887600155886</v>
      </c>
      <c r="F62" t="s" s="26">
        <v>136</v>
      </c>
      <c r="G62" s="23" cm="1">
        <f t="array" ref="G62">VLOOKUP(F62,'Rating Lookup'!$A2:$B138,2,FALSE)</f>
        <v>-5.94609839358734</v>
      </c>
      <c r="H62" t="s" s="26">
        <v>108</v>
      </c>
      <c r="I62" s="23" cm="1">
        <f t="array" ref="I62">VLOOKUP(H62,'Rating Lookup'!$A2:$B138,2,FALSE)</f>
        <v>-2.91762373109868</v>
      </c>
      <c r="J62" t="s" s="26">
        <v>96</v>
      </c>
      <c r="K62" s="23" cm="1">
        <f t="array" ref="K62">VLOOKUP(J62,'Rating Lookup'!$A2:$B138,2,FALSE)</f>
        <v>-1.92985341790185</v>
      </c>
      <c r="L62" t="s" s="26">
        <v>74</v>
      </c>
      <c r="M62" s="23" cm="1">
        <f t="array" ref="M62">VLOOKUP(L62,'Rating Lookup'!$A2:$B138,2,FALSE)</f>
        <v>-0.46501955700663</v>
      </c>
      <c r="N62" t="s" s="26">
        <v>34</v>
      </c>
      <c r="O62" s="23" cm="1">
        <f t="array" ref="O62">VLOOKUP(N62,'Rating Lookup'!$A2:$B138,2,FALSE)</f>
        <v>3.46082209671099</v>
      </c>
      <c r="P62" s="23" cm="1">
        <f t="array" ref="P62">AVERAGE(C62,E62,G62,I62,K62,M62,O62)</f>
        <v>-1.08375031041187</v>
      </c>
    </row>
    <row r="63" ht="13.55" customHeight="1">
      <c r="A63" t="s" s="26">
        <v>28</v>
      </c>
      <c r="B63" t="s" s="26">
        <v>59</v>
      </c>
      <c r="C63" s="23" cm="1">
        <f t="array" ref="C63">VLOOKUP(B63,'Rating Lookup'!$A2:$B138,2,FALSE)</f>
        <v>1.35598510611147</v>
      </c>
      <c r="D63" t="s" s="26">
        <v>100</v>
      </c>
      <c r="E63" s="23" cm="1">
        <f t="array" ref="E63">VLOOKUP(D63,'Rating Lookup'!$A2:$B138,2,FALSE)</f>
        <v>-2.2314514587537</v>
      </c>
      <c r="F63" t="s" s="26">
        <v>112</v>
      </c>
      <c r="G63" s="23" cm="1">
        <f t="array" ref="G63">VLOOKUP(F63,'Rating Lookup'!$A2:$B138,2,FALSE)</f>
        <v>-3.30058825776286</v>
      </c>
      <c r="H63" t="s" s="26">
        <v>83</v>
      </c>
      <c r="I63" s="23" cm="1">
        <f t="array" ref="I63">VLOOKUP(H63,'Rating Lookup'!$A2:$B138,2,FALSE)</f>
        <v>-1.04226754877399</v>
      </c>
      <c r="J63" t="s" s="26">
        <v>101</v>
      </c>
      <c r="K63" s="23" cm="1">
        <f t="array" ref="K63">VLOOKUP(J63,'Rating Lookup'!$A2:$B138,2,FALSE)</f>
        <v>-2.49383104131239</v>
      </c>
      <c r="L63" t="s" s="26">
        <v>23</v>
      </c>
      <c r="M63" s="23" cm="1">
        <f t="array" ref="M63">VLOOKUP(L63,'Rating Lookup'!$A2:$B138,2,FALSE)</f>
        <v>4.40189201585545</v>
      </c>
      <c r="N63" t="s" s="26">
        <v>89</v>
      </c>
      <c r="O63" s="23" cm="1">
        <f t="array" ref="O63">VLOOKUP(N63,'Rating Lookup'!$A2:$B138,2,FALSE)</f>
        <v>-1.465873424251</v>
      </c>
      <c r="P63" s="23" cm="1">
        <f t="array" ref="P63">AVERAGE(C63,E63,G63,I63,K63,M63,O63)</f>
        <v>-0.6823049441267171</v>
      </c>
    </row>
    <row r="64" ht="13.55" customHeight="1">
      <c r="A64" t="s" s="26">
        <v>80</v>
      </c>
      <c r="B64" t="s" s="26">
        <v>93</v>
      </c>
      <c r="C64" s="23" cm="1">
        <f t="array" ref="C64">VLOOKUP(B64,'Rating Lookup'!$A2:$B138,2,FALSE)</f>
        <v>-1.89357854452855</v>
      </c>
      <c r="D64" t="s" s="26">
        <v>134</v>
      </c>
      <c r="E64" s="23" cm="1">
        <f t="array" ref="E64">VLOOKUP(D64,'Rating Lookup'!$A2:$B138,2,FALSE)</f>
        <v>-5.69069429802854</v>
      </c>
      <c r="F64" t="s" s="26">
        <v>96</v>
      </c>
      <c r="G64" s="23" cm="1">
        <f t="array" ref="G64">VLOOKUP(F64,'Rating Lookup'!$A2:$B138,2,FALSE)</f>
        <v>-1.92985341790185</v>
      </c>
      <c r="H64" t="s" s="26">
        <v>121</v>
      </c>
      <c r="I64" s="23" cm="1">
        <f t="array" ref="I64">VLOOKUP(H64,'Rating Lookup'!$A2:$B138,2,FALSE)</f>
        <v>-4.08640151456241</v>
      </c>
      <c r="J64" t="s" s="26">
        <v>88</v>
      </c>
      <c r="K64" s="23" cm="1">
        <f t="array" ref="K64">VLOOKUP(J64,'Rating Lookup'!$A2:$B138,2,FALSE)</f>
        <v>-1.35956232001684</v>
      </c>
      <c r="L64" t="s" s="26">
        <v>95</v>
      </c>
      <c r="M64" s="23" cm="1">
        <f t="array" ref="M64">VLOOKUP(L64,'Rating Lookup'!$A2:$B138,2,FALSE)</f>
        <v>-1.92319740027882</v>
      </c>
      <c r="N64" t="s" s="26">
        <v>73</v>
      </c>
      <c r="O64" s="23" cm="1">
        <f t="array" ref="O64">VLOOKUP(N64,'Rating Lookup'!$A2:$B138,2,FALSE)</f>
        <v>-0.42667333775956</v>
      </c>
      <c r="P64" s="23" cm="1">
        <f t="array" ref="P64">AVERAGE(C64,E64,G64,I64,K64,M64,O64)</f>
        <v>-2.47285154758237</v>
      </c>
    </row>
    <row r="65" ht="13.55" customHeight="1">
      <c r="A65" t="s" s="26">
        <v>138</v>
      </c>
      <c r="B65" t="s" s="26">
        <v>102</v>
      </c>
      <c r="C65" s="23" cm="1">
        <f t="array" ref="C65">VLOOKUP(B65,'Rating Lookup'!$A2:$B138,2,FALSE)</f>
        <v>-2.53885665448911</v>
      </c>
      <c r="D65" t="s" s="26">
        <v>99</v>
      </c>
      <c r="E65" s="23" cm="1">
        <f t="array" ref="E65">VLOOKUP(D65,'Rating Lookup'!$A2:$B138,2,FALSE)</f>
        <v>-2.17781183627959</v>
      </c>
      <c r="F65" t="s" s="26">
        <v>91</v>
      </c>
      <c r="G65" s="23" cm="1">
        <f t="array" ref="G65">VLOOKUP(F65,'Rating Lookup'!$A2:$B138,2,FALSE)</f>
        <v>-1.86915335849158</v>
      </c>
      <c r="H65" t="s" s="26">
        <v>107</v>
      </c>
      <c r="I65" s="23" cm="1">
        <f t="array" ref="I65">VLOOKUP(H65,'Rating Lookup'!$A2:$B138,2,FALSE)</f>
        <v>-2.79254134979256</v>
      </c>
      <c r="J65" t="s" s="26">
        <v>12</v>
      </c>
      <c r="K65" s="23" cm="1">
        <f t="array" ref="K65">VLOOKUP(J65,'Rating Lookup'!$A2:$B138,2,FALSE)</f>
        <v>5.59982769875114</v>
      </c>
      <c r="L65" t="s" s="26">
        <v>112</v>
      </c>
      <c r="M65" s="23" cm="1">
        <f t="array" ref="M65">VLOOKUP(L65,'Rating Lookup'!$A2:$B138,2,FALSE)</f>
        <v>-3.30058825776286</v>
      </c>
      <c r="N65" t="s" s="26">
        <v>58</v>
      </c>
      <c r="O65" s="23" cm="1">
        <f t="array" ref="O65">VLOOKUP(N65,'Rating Lookup'!$A2:$B138,2,FALSE)</f>
        <v>1.46004862122864</v>
      </c>
      <c r="P65" s="23" cm="1">
        <f t="array" ref="P65">AVERAGE(C65,E65,G65,I65,K65,M65,O65)</f>
        <v>-0.802725019547989</v>
      </c>
    </row>
    <row r="66" ht="13.55" customHeight="1">
      <c r="A66" t="s" s="26">
        <v>81</v>
      </c>
      <c r="B66" t="s" s="26">
        <v>127</v>
      </c>
      <c r="C66" s="23" cm="1">
        <f t="array" ref="C66">VLOOKUP(B66,'Rating Lookup'!$A2:$B138,2,FALSE)</f>
        <v>-4.46999207445372</v>
      </c>
      <c r="D66" t="s" s="26">
        <v>53</v>
      </c>
      <c r="E66" s="23" cm="1">
        <f t="array" ref="E66">VLOOKUP(D66,'Rating Lookup'!$A2:$B138,2,FALSE)</f>
        <v>1.80226153055653</v>
      </c>
      <c r="F66" t="s" s="26">
        <v>123</v>
      </c>
      <c r="G66" s="23" cm="1">
        <f t="array" ref="G66">VLOOKUP(F66,'Rating Lookup'!$A2:$B138,2,FALSE)</f>
        <v>-4.19472030187331</v>
      </c>
      <c r="H66" t="s" s="26">
        <v>89</v>
      </c>
      <c r="I66" s="23" cm="1">
        <f t="array" ref="I66">VLOOKUP(H66,'Rating Lookup'!$A2:$B138,2,FALSE)</f>
        <v>-1.465873424251</v>
      </c>
      <c r="J66" t="s" s="26">
        <v>137</v>
      </c>
      <c r="K66" s="23" cm="1">
        <f t="array" ref="K66">VLOOKUP(J66,'Rating Lookup'!$A2:$B138,2,FALSE)</f>
        <v>-6.85729246652121</v>
      </c>
      <c r="L66" t="s" s="26">
        <v>38</v>
      </c>
      <c r="M66" s="23" cm="1">
        <f t="array" ref="M66">VLOOKUP(L66,'Rating Lookup'!$A2:$B138,2,FALSE)</f>
        <v>3.19465323054226</v>
      </c>
      <c r="N66" t="s" s="26">
        <v>38</v>
      </c>
      <c r="O66" s="23" cm="1">
        <f t="array" ref="O66">VLOOKUP(N66,'Rating Lookup'!$A2:$B138,2,FALSE)</f>
        <v>3.19465323054226</v>
      </c>
      <c r="P66" s="23" cm="1">
        <f t="array" ref="P66">AVERAGE(C66,E66,G66,I66,K66,M66,O66)</f>
        <v>-1.25661575363688</v>
      </c>
    </row>
    <row r="67" ht="13.55" customHeight="1">
      <c r="A67" t="s" s="26">
        <v>14</v>
      </c>
      <c r="B67" t="s" s="26">
        <v>20</v>
      </c>
      <c r="C67" s="23" cm="1">
        <f t="array" ref="C67">VLOOKUP(B67,'Rating Lookup'!$A2:$B138,2,FALSE)</f>
        <v>4.57875396195659</v>
      </c>
      <c r="D67" t="s" s="26">
        <v>50</v>
      </c>
      <c r="E67" s="23" cm="1">
        <f t="array" ref="E67">VLOOKUP(D67,'Rating Lookup'!$A2:$B138,2,FALSE)</f>
        <v>1.94954402902408</v>
      </c>
      <c r="F67" t="s" s="26">
        <v>7</v>
      </c>
      <c r="G67" s="23" cm="1">
        <f t="array" ref="G67">VLOOKUP(F67,'Rating Lookup'!$A2:$B138,2,FALSE)</f>
        <v>6.81991318008486</v>
      </c>
      <c r="H67" t="s" s="26">
        <v>78</v>
      </c>
      <c r="I67" s="23" cm="1">
        <f t="array" ref="I67">VLOOKUP(H67,'Rating Lookup'!$A2:$B138,2,FALSE)</f>
        <v>-0.7722108176382</v>
      </c>
      <c r="J67" t="s" s="26">
        <v>66</v>
      </c>
      <c r="K67" s="23" cm="1">
        <f t="array" ref="K67">VLOOKUP(J67,'Rating Lookup'!$A2:$B138,2,FALSE)</f>
        <v>0.29521010233505</v>
      </c>
      <c r="L67" t="s" s="26">
        <v>57</v>
      </c>
      <c r="M67" s="23" cm="1">
        <f t="array" ref="M67">VLOOKUP(L67,'Rating Lookup'!$A2:$B138,2,FALSE)</f>
        <v>1.60467129115595</v>
      </c>
      <c r="N67" t="s" s="26">
        <v>46</v>
      </c>
      <c r="O67" s="23" cm="1">
        <f t="array" ref="O67">VLOOKUP(N67,'Rating Lookup'!$A2:$B138,2,FALSE)</f>
        <v>2.24485292723666</v>
      </c>
      <c r="P67" s="23" cm="1">
        <f t="array" ref="P67">AVERAGE(C67,E67,G67,I67,K67,M67,O67)</f>
        <v>2.38867638202214</v>
      </c>
    </row>
    <row r="68" ht="13.55" customHeight="1">
      <c r="A68" t="s" s="26">
        <v>34</v>
      </c>
      <c r="B68" t="s" s="26">
        <v>40</v>
      </c>
      <c r="C68" s="23" cm="1">
        <f t="array" ref="C68">VLOOKUP(B68,'Rating Lookup'!$A2:$B138,2,FALSE)</f>
        <v>2.81548972381729</v>
      </c>
      <c r="D68" t="s" s="26">
        <v>27</v>
      </c>
      <c r="E68" s="23" cm="1">
        <f t="array" ref="E68">VLOOKUP(D68,'Rating Lookup'!$A2:$B138,2,FALSE)</f>
        <v>4.00435455050306</v>
      </c>
      <c r="F68" t="s" s="26">
        <v>74</v>
      </c>
      <c r="G68" s="23" cm="1">
        <f t="array" ref="G68">VLOOKUP(F68,'Rating Lookup'!$A2:$B138,2,FALSE)</f>
        <v>-0.46501955700663</v>
      </c>
      <c r="H68" t="s" s="26">
        <v>92</v>
      </c>
      <c r="I68" s="23" cm="1">
        <f t="array" ref="I68">VLOOKUP(H68,'Rating Lookup'!$A2:$B138,2,FALSE)</f>
        <v>-1.87051168400926</v>
      </c>
      <c r="J68" t="s" s="26">
        <v>131</v>
      </c>
      <c r="K68" s="23" cm="1">
        <f t="array" ref="K68">VLOOKUP(J68,'Rating Lookup'!$A2:$B138,2,FALSE)</f>
        <v>-5.2111720771302</v>
      </c>
      <c r="L68" t="s" s="26">
        <v>126</v>
      </c>
      <c r="M68" s="23" cm="1">
        <f t="array" ref="M68">VLOOKUP(L68,'Rating Lookup'!$A2:$B138,2,FALSE)</f>
        <v>-4.4638143553882</v>
      </c>
      <c r="N68" t="s" s="26">
        <v>87</v>
      </c>
      <c r="O68" s="23" cm="1">
        <f t="array" ref="O68">VLOOKUP(N68,'Rating Lookup'!$A2:$B138,2,FALSE)</f>
        <v>-1.20871388306861</v>
      </c>
      <c r="P68" s="23" cm="1">
        <f t="array" ref="P68">AVERAGE(C68,E68,G68,I68,K68,M68,O68)</f>
        <v>-0.914198183183221</v>
      </c>
    </row>
    <row r="69" ht="13.55" customHeight="1">
      <c r="A69" t="s" s="26">
        <v>26</v>
      </c>
      <c r="B69" t="s" s="26">
        <v>105</v>
      </c>
      <c r="C69" s="23" cm="1">
        <f t="array" ref="C69">VLOOKUP(B69,'Rating Lookup'!$A2:$B138,2,FALSE)</f>
        <v>-2.70831005953648</v>
      </c>
      <c r="D69" t="s" s="26">
        <v>140</v>
      </c>
      <c r="E69" s="23" cm="1">
        <f t="array" ref="E69">VLOOKUP(D69,'Rating Lookup'!$A2:$B138,2,FALSE)</f>
        <v>-9.31654300434057</v>
      </c>
      <c r="F69" t="s" s="26">
        <v>13</v>
      </c>
      <c r="G69" s="23" cm="1">
        <f t="array" ref="G69">VLOOKUP(F69,'Rating Lookup'!$A2:$B138,2,FALSE)</f>
        <v>5.59129696346212</v>
      </c>
      <c r="H69" t="s" s="26">
        <v>103</v>
      </c>
      <c r="I69" s="23" cm="1">
        <f t="array" ref="I69">VLOOKUP(H69,'Rating Lookup'!$A2:$B138,2,FALSE)</f>
        <v>-2.57170378386919</v>
      </c>
      <c r="J69" t="s" s="26">
        <v>112</v>
      </c>
      <c r="K69" s="23" cm="1">
        <f t="array" ref="K69">VLOOKUP(J69,'Rating Lookup'!$A2:$B138,2,FALSE)</f>
        <v>-3.30058825776286</v>
      </c>
      <c r="L69" t="s" s="26">
        <v>101</v>
      </c>
      <c r="M69" s="23" cm="1">
        <f t="array" ref="M69">VLOOKUP(L69,'Rating Lookup'!$A2:$B138,2,FALSE)</f>
        <v>-2.49383104131239</v>
      </c>
      <c r="N69" t="s" s="26">
        <v>16</v>
      </c>
      <c r="O69" s="23" cm="1">
        <f t="array" ref="O69">VLOOKUP(N69,'Rating Lookup'!$A2:$B138,2,FALSE)</f>
        <v>5.27483839422214</v>
      </c>
      <c r="P69" s="23" cm="1">
        <f t="array" ref="P69">AVERAGE(C69,E69,G69,I69,K69,M69,O69)</f>
        <v>-1.36069154130532</v>
      </c>
    </row>
    <row r="70" ht="13.55" customHeight="1">
      <c r="A70" t="s" s="26">
        <v>109</v>
      </c>
      <c r="B70" t="s" s="26">
        <v>12</v>
      </c>
      <c r="C70" s="23" cm="1">
        <f t="array" ref="C70">VLOOKUP(B70,'Rating Lookup'!$A2:$B138,2,FALSE)</f>
        <v>5.59982769875114</v>
      </c>
      <c r="D70" t="s" s="26">
        <v>64</v>
      </c>
      <c r="E70" s="23" cm="1">
        <f t="array" ref="E70">VLOOKUP(D70,'Rating Lookup'!$A2:$B138,2,FALSE)</f>
        <v>0.5861765857014</v>
      </c>
      <c r="F70" t="s" s="26">
        <v>29</v>
      </c>
      <c r="G70" s="23" cm="1">
        <f t="array" ref="G70">VLOOKUP(F70,'Rating Lookup'!$A2:$B138,2,FALSE)</f>
        <v>3.90358287595508</v>
      </c>
      <c r="H70" t="s" s="26">
        <v>111</v>
      </c>
      <c r="I70" s="23" cm="1">
        <f t="array" ref="I70">VLOOKUP(H70,'Rating Lookup'!$A2:$B138,2,FALSE)</f>
        <v>-3.28135612625608</v>
      </c>
      <c r="J70" t="s" s="26">
        <v>71</v>
      </c>
      <c r="K70" s="23" cm="1">
        <f t="array" ref="K70">VLOOKUP(J70,'Rating Lookup'!$A2:$B138,2,FALSE)</f>
        <v>0.018556443215437</v>
      </c>
      <c r="L70" t="s" s="26">
        <v>65</v>
      </c>
      <c r="M70" s="23" cm="1">
        <f t="array" ref="M70">VLOOKUP(L70,'Rating Lookup'!$A2:$B138,2,FALSE)</f>
        <v>0.5243959583097469</v>
      </c>
      <c r="N70" t="s" s="26">
        <v>20</v>
      </c>
      <c r="O70" s="23" cm="1">
        <f t="array" ref="O70">VLOOKUP(N70,'Rating Lookup'!$A2:$B138,2,FALSE)</f>
        <v>4.57875396195659</v>
      </c>
      <c r="P70" s="23" cm="1">
        <f t="array" ref="P70">AVERAGE(C70,E70,G70,I70,K70,M70,O70)</f>
        <v>1.70427677109047</v>
      </c>
    </row>
    <row r="71" ht="13.55" customHeight="1">
      <c r="A71" t="s" s="26">
        <v>124</v>
      </c>
      <c r="B71" t="s" s="26">
        <v>23</v>
      </c>
      <c r="C71" s="23" cm="1">
        <f t="array" ref="C71">VLOOKUP(B71,'Rating Lookup'!$A2:$B138,2,FALSE)</f>
        <v>4.40189201585545</v>
      </c>
      <c r="D71" t="s" s="26">
        <v>15</v>
      </c>
      <c r="E71" s="23" cm="1">
        <f t="array" ref="E71">VLOOKUP(D71,'Rating Lookup'!$A2:$B138,2,FALSE)</f>
        <v>5.46568762547505</v>
      </c>
      <c r="F71" t="s" s="26">
        <v>55</v>
      </c>
      <c r="G71" s="23" cm="1">
        <f t="array" ref="G71">VLOOKUP(F71,'Rating Lookup'!$A2:$B138,2,FALSE)</f>
        <v>1.61968253185873</v>
      </c>
      <c r="H71" t="s" s="26">
        <v>7</v>
      </c>
      <c r="I71" s="23" cm="1">
        <f t="array" ref="I71">VLOOKUP(H71,'Rating Lookup'!$A2:$B138,2,FALSE)</f>
        <v>6.81991318008486</v>
      </c>
      <c r="J71" t="s" s="26">
        <v>49</v>
      </c>
      <c r="K71" s="23" cm="1">
        <f t="array" ref="K71">VLOOKUP(J71,'Rating Lookup'!$A2:$B138,2,FALSE)</f>
        <v>2.02733086035033</v>
      </c>
      <c r="L71" t="s" s="26">
        <v>82</v>
      </c>
      <c r="M71" s="23" cm="1">
        <f t="array" ref="M71">VLOOKUP(L71,'Rating Lookup'!$A2:$B138,2,FALSE)</f>
        <v>-1.01281078608949</v>
      </c>
      <c r="N71" t="s" s="26">
        <v>90</v>
      </c>
      <c r="O71" s="23" cm="1">
        <f t="array" ref="O71">VLOOKUP(N71,'Rating Lookup'!$A2:$B138,2,FALSE)</f>
        <v>-1.62598908807918</v>
      </c>
      <c r="P71" s="23" cm="1">
        <f t="array" ref="P71">AVERAGE(C71,E71,G71,I71,K71,M71,O71)</f>
        <v>2.52795804849368</v>
      </c>
    </row>
    <row r="72" ht="13.55" customHeight="1">
      <c r="A72" t="s" s="26">
        <v>36</v>
      </c>
      <c r="B72" t="s" s="26">
        <v>115</v>
      </c>
      <c r="C72" s="23" cm="1">
        <f t="array" ref="C72">VLOOKUP(B72,'Rating Lookup'!$A2:$B138,2,FALSE)</f>
        <v>-3.65935390300287</v>
      </c>
      <c r="D72" t="s" s="26">
        <v>95</v>
      </c>
      <c r="E72" s="23" cm="1">
        <f t="array" ref="E72">VLOOKUP(D72,'Rating Lookup'!$A2:$B138,2,FALSE)</f>
        <v>-1.92319740027882</v>
      </c>
      <c r="F72" t="s" s="26">
        <v>113</v>
      </c>
      <c r="G72" s="23" cm="1">
        <f t="array" ref="G72">VLOOKUP(F72,'Rating Lookup'!$A2:$B138,2,FALSE)</f>
        <v>-3.33099720766006</v>
      </c>
      <c r="H72" t="s" s="26">
        <v>84</v>
      </c>
      <c r="I72" s="23" cm="1">
        <f t="array" ref="I72">VLOOKUP(H72,'Rating Lookup'!$A2:$B138,2,FALSE)</f>
        <v>-1.04555922522911</v>
      </c>
      <c r="J72" t="s" s="26">
        <v>134</v>
      </c>
      <c r="K72" s="23" cm="1">
        <f t="array" ref="K72">VLOOKUP(J72,'Rating Lookup'!$A2:$B138,2,FALSE)</f>
        <v>-5.69069429802854</v>
      </c>
      <c r="L72" t="s" s="26">
        <v>70</v>
      </c>
      <c r="M72" s="23" cm="1">
        <f t="array" ref="M72">VLOOKUP(L72,'Rating Lookup'!$A2:$B138,2,FALSE)</f>
        <v>0.14360151048081</v>
      </c>
      <c r="N72" t="s" s="26">
        <v>83</v>
      </c>
      <c r="O72" s="23" cm="1">
        <f t="array" ref="O72">VLOOKUP(N72,'Rating Lookup'!$A2:$B138,2,FALSE)</f>
        <v>-1.04226754877399</v>
      </c>
      <c r="P72" s="23" cm="1">
        <f t="array" ref="P72">AVERAGE(C72,E72,G72,I72,K72,M72,O72)</f>
        <v>-2.36406686749894</v>
      </c>
    </row>
    <row r="73" ht="13.55" customHeight="1">
      <c r="A73" t="s" s="26">
        <v>63</v>
      </c>
      <c r="B73" t="s" s="26">
        <v>110</v>
      </c>
      <c r="C73" s="23" cm="1">
        <f t="array" ref="C73">VLOOKUP(B73,'Rating Lookup'!$A2:$B138,2,FALSE)</f>
        <v>-3.24214829876599</v>
      </c>
      <c r="D73" t="s" s="26">
        <v>120</v>
      </c>
      <c r="E73" s="23" cm="1">
        <f t="array" ref="E73">VLOOKUP(D73,'Rating Lookup'!$A2:$B138,2,FALSE)</f>
        <v>-4.02321925506876</v>
      </c>
      <c r="F73" t="s" s="26">
        <v>132</v>
      </c>
      <c r="G73" s="23" cm="1">
        <f t="array" ref="G73">VLOOKUP(F73,'Rating Lookup'!$A2:$B138,2,FALSE)</f>
        <v>-5.53252093819443</v>
      </c>
      <c r="H73" t="s" s="26">
        <v>132</v>
      </c>
      <c r="I73" s="23" cm="1">
        <f t="array" ref="I73">VLOOKUP(H73,'Rating Lookup'!$A2:$B138,2,FALSE)</f>
        <v>-5.53252093819443</v>
      </c>
      <c r="J73" t="s" s="26">
        <v>40</v>
      </c>
      <c r="K73" s="23" cm="1">
        <f t="array" ref="K73">VLOOKUP(J73,'Rating Lookup'!$A2:$B138,2,FALSE)</f>
        <v>2.81548972381729</v>
      </c>
      <c r="L73" t="s" s="26">
        <v>19</v>
      </c>
      <c r="M73" s="23" cm="1">
        <f t="array" ref="M73">VLOOKUP(L73,'Rating Lookup'!$A2:$B138,2,FALSE)</f>
        <v>4.5934517710258</v>
      </c>
      <c r="N73" t="s" s="26">
        <v>130</v>
      </c>
      <c r="O73" s="23" cm="1">
        <f t="array" ref="O73">VLOOKUP(N73,'Rating Lookup'!$A2:$B138,2,FALSE)</f>
        <v>-5.03311458515405</v>
      </c>
      <c r="P73" s="23" cm="1">
        <f t="array" ref="P73">AVERAGE(C73,E73,G73,I73,K73,M73,O73)</f>
        <v>-2.27922607436208</v>
      </c>
    </row>
    <row r="74" ht="13.55" customHeight="1">
      <c r="A74" t="s" s="26">
        <v>37</v>
      </c>
      <c r="B74" t="s" s="26">
        <v>6</v>
      </c>
      <c r="C74" s="23" cm="1">
        <f t="array" ref="C74">VLOOKUP(B74,'Rating Lookup'!$A2:$B138,2,FALSE)</f>
        <v>6.89188674772828</v>
      </c>
      <c r="D74" t="s" s="26">
        <v>19</v>
      </c>
      <c r="E74" s="23" cm="1">
        <f t="array" ref="E74">VLOOKUP(D74,'Rating Lookup'!$A2:$B138,2,FALSE)</f>
        <v>4.5934517710258</v>
      </c>
      <c r="F74" t="s" s="26">
        <v>90</v>
      </c>
      <c r="G74" s="23" cm="1">
        <f t="array" ref="G74">VLOOKUP(F74,'Rating Lookup'!$A2:$B138,2,FALSE)</f>
        <v>-1.62598908807918</v>
      </c>
      <c r="H74" t="s" s="26">
        <v>74</v>
      </c>
      <c r="I74" s="23" cm="1">
        <f t="array" ref="I74">VLOOKUP(H74,'Rating Lookup'!$A2:$B138,2,FALSE)</f>
        <v>-0.46501955700663</v>
      </c>
      <c r="J74" t="s" s="26">
        <v>73</v>
      </c>
      <c r="K74" s="23" cm="1">
        <f t="array" ref="K74">VLOOKUP(J74,'Rating Lookup'!$A2:$B138,2,FALSE)</f>
        <v>-0.42667333775956</v>
      </c>
      <c r="L74" t="s" s="26">
        <v>105</v>
      </c>
      <c r="M74" s="23" cm="1">
        <f t="array" ref="M74">VLOOKUP(L74,'Rating Lookup'!$A2:$B138,2,FALSE)</f>
        <v>-2.70831005953648</v>
      </c>
      <c r="N74" t="s" s="26">
        <v>7</v>
      </c>
      <c r="O74" s="23" cm="1">
        <f t="array" ref="O74">VLOOKUP(N74,'Rating Lookup'!$A2:$B138,2,FALSE)</f>
        <v>6.81991318008486</v>
      </c>
      <c r="P74" s="23" cm="1">
        <f t="array" ref="P74">AVERAGE(C74,E74,G74,I74,K74,M74,O74)</f>
        <v>1.86846566520816</v>
      </c>
    </row>
    <row r="75" ht="13.55" customHeight="1">
      <c r="A75" t="s" s="26">
        <v>51</v>
      </c>
      <c r="B75" t="s" s="26">
        <v>123</v>
      </c>
      <c r="C75" s="23" cm="1">
        <f t="array" ref="C75">VLOOKUP(B75,'Rating Lookup'!$A2:$B138,2,FALSE)</f>
        <v>-4.19472030187331</v>
      </c>
      <c r="D75" t="s" s="26">
        <v>84</v>
      </c>
      <c r="E75" s="23" cm="1">
        <f t="array" ref="E75">VLOOKUP(D75,'Rating Lookup'!$A2:$B138,2,FALSE)</f>
        <v>-1.04555922522911</v>
      </c>
      <c r="F75" t="s" s="26">
        <v>69</v>
      </c>
      <c r="G75" s="23" cm="1">
        <f t="array" ref="G75">VLOOKUP(F75,'Rating Lookup'!$A2:$B138,2,FALSE)</f>
        <v>0.20014218519344</v>
      </c>
      <c r="H75" t="s" s="26">
        <v>79</v>
      </c>
      <c r="I75" s="23" cm="1">
        <f t="array" ref="I75">VLOOKUP(H75,'Rating Lookup'!$A2:$B138,2,FALSE)</f>
        <v>-0.836360098479986</v>
      </c>
      <c r="J75" t="s" s="26">
        <v>133</v>
      </c>
      <c r="K75" s="23" cm="1">
        <f t="array" ref="K75">VLOOKUP(J75,'Rating Lookup'!$A2:$B138,2,FALSE)</f>
        <v>-5.55857628514641</v>
      </c>
      <c r="L75" t="s" s="26">
        <v>7</v>
      </c>
      <c r="M75" s="23" cm="1">
        <f t="array" ref="M75">VLOOKUP(L75,'Rating Lookup'!$A2:$B138,2,FALSE)</f>
        <v>6.81991318008486</v>
      </c>
      <c r="N75" t="s" s="26">
        <v>97</v>
      </c>
      <c r="O75" s="23" cm="1">
        <f t="array" ref="O75">VLOOKUP(N75,'Rating Lookup'!$A2:$B138,2,FALSE)</f>
        <v>-2.05013712658942</v>
      </c>
      <c r="P75" s="23" cm="1">
        <f t="array" ref="P75">AVERAGE(C75,E75,G75,I75,K75,M75,O75)</f>
        <v>-0.952185381719991</v>
      </c>
    </row>
    <row r="76" ht="13.55" customHeight="1">
      <c r="A76" t="s" s="26">
        <v>121</v>
      </c>
      <c r="B76" t="s" s="26">
        <v>27</v>
      </c>
      <c r="C76" s="23" cm="1">
        <f t="array" ref="C76">VLOOKUP(B76,'Rating Lookup'!$A2:$B138,2,FALSE)</f>
        <v>4.00435455050306</v>
      </c>
      <c r="D76" t="s" s="26">
        <v>39</v>
      </c>
      <c r="E76" s="23" cm="1">
        <f t="array" ref="E76">VLOOKUP(D76,'Rating Lookup'!$A2:$B138,2,FALSE)</f>
        <v>3.10202729206284</v>
      </c>
      <c r="F76" t="s" s="26">
        <v>19</v>
      </c>
      <c r="G76" s="23" cm="1">
        <f t="array" ref="G76">VLOOKUP(F76,'Rating Lookup'!$A2:$B138,2,FALSE)</f>
        <v>4.5934517710258</v>
      </c>
      <c r="H76" t="s" s="26">
        <v>80</v>
      </c>
      <c r="I76" s="23" cm="1">
        <f t="array" ref="I76">VLOOKUP(H76,'Rating Lookup'!$A2:$B138,2,FALSE)</f>
        <v>-0.84768132374283</v>
      </c>
      <c r="J76" t="s" s="26">
        <v>53</v>
      </c>
      <c r="K76" s="23" cm="1">
        <f t="array" ref="K76">VLOOKUP(J76,'Rating Lookup'!$A2:$B138,2,FALSE)</f>
        <v>1.80226153055653</v>
      </c>
      <c r="L76" t="s" s="26">
        <v>6</v>
      </c>
      <c r="M76" s="23" cm="1">
        <f t="array" ref="M76">VLOOKUP(L76,'Rating Lookup'!$A2:$B138,2,FALSE)</f>
        <v>6.89188674772828</v>
      </c>
      <c r="N76" t="s" s="26">
        <v>33</v>
      </c>
      <c r="O76" s="23" cm="1">
        <f t="array" ref="O76">VLOOKUP(N76,'Rating Lookup'!$A2:$B138,2,FALSE)</f>
        <v>3.47491832350742</v>
      </c>
      <c r="P76" s="23" cm="1">
        <f t="array" ref="P76">AVERAGE(C76,E76,G76,I76,K76,M76,O76)</f>
        <v>3.28874555594873</v>
      </c>
    </row>
    <row r="77" ht="13.55" customHeight="1">
      <c r="A77" t="s" s="26">
        <v>54</v>
      </c>
      <c r="B77" t="s" s="26">
        <v>95</v>
      </c>
      <c r="C77" s="23" cm="1">
        <f t="array" ref="C77">VLOOKUP(B77,'Rating Lookup'!$A2:$B138,2,FALSE)</f>
        <v>-1.92319740027882</v>
      </c>
      <c r="D77" t="s" s="26">
        <v>122</v>
      </c>
      <c r="E77" s="23" cm="1">
        <f t="array" ref="E77">VLOOKUP(D77,'Rating Lookup'!$A2:$B138,2,FALSE)</f>
        <v>-4.1152424920869</v>
      </c>
      <c r="F77" t="s" s="26">
        <v>32</v>
      </c>
      <c r="G77" s="23" cm="1">
        <f t="array" ref="G77">VLOOKUP(F77,'Rating Lookup'!$A2:$B138,2,FALSE)</f>
        <v>3.57260180896642</v>
      </c>
      <c r="H77" t="s" s="26">
        <v>130</v>
      </c>
      <c r="I77" s="23" cm="1">
        <f t="array" ref="I77">VLOOKUP(H77,'Rating Lookup'!$A2:$B138,2,FALSE)</f>
        <v>-5.03311458515405</v>
      </c>
      <c r="J77" t="s" s="26">
        <v>59</v>
      </c>
      <c r="K77" s="23" cm="1">
        <f t="array" ref="K77">VLOOKUP(J77,'Rating Lookup'!$A2:$B138,2,FALSE)</f>
        <v>1.35598510611147</v>
      </c>
      <c r="L77" t="s" s="26">
        <v>67</v>
      </c>
      <c r="M77" s="23" cm="1">
        <f t="array" ref="M77">VLOOKUP(L77,'Rating Lookup'!$A2:$B138,2,FALSE)</f>
        <v>0.275678160475329</v>
      </c>
      <c r="N77" t="s" s="26">
        <v>78</v>
      </c>
      <c r="O77" s="23" cm="1">
        <f t="array" ref="O77">VLOOKUP(N77,'Rating Lookup'!$A2:$B138,2,FALSE)</f>
        <v>-0.7722108176382</v>
      </c>
      <c r="P77" s="23" cm="1">
        <f t="array" ref="P77">AVERAGE(C77,E77,G77,I77,K77,M77,O77)</f>
        <v>-0.948500031372107</v>
      </c>
    </row>
    <row r="78" ht="13.55" customHeight="1">
      <c r="A78" t="s" s="26">
        <v>106</v>
      </c>
      <c r="B78" t="s" s="26">
        <v>39</v>
      </c>
      <c r="C78" s="23" cm="1">
        <f t="array" ref="C78">VLOOKUP(B78,'Rating Lookup'!$A2:$B138,2,FALSE)</f>
        <v>3.10202729206284</v>
      </c>
      <c r="D78" t="s" s="26">
        <v>47</v>
      </c>
      <c r="E78" s="23" cm="1">
        <f t="array" ref="E78">VLOOKUP(D78,'Rating Lookup'!$A2:$B138,2,FALSE)</f>
        <v>2.18077992877894</v>
      </c>
      <c r="F78" t="s" s="26">
        <v>135</v>
      </c>
      <c r="G78" s="23" cm="1">
        <f t="array" ref="G78">VLOOKUP(F78,'Rating Lookup'!$A2:$B138,2,FALSE)</f>
        <v>-5.91317296171246</v>
      </c>
      <c r="H78" t="s" s="26">
        <v>52</v>
      </c>
      <c r="I78" s="23" cm="1">
        <f t="array" ref="I78">VLOOKUP(H78,'Rating Lookup'!$A2:$B138,2,FALSE)</f>
        <v>1.88863509001956</v>
      </c>
      <c r="J78" t="s" s="26">
        <v>125</v>
      </c>
      <c r="K78" s="23" cm="1">
        <f t="array" ref="K78">VLOOKUP(J78,'Rating Lookup'!$A2:$B138,2,FALSE)</f>
        <v>-4.34735517155842</v>
      </c>
      <c r="L78" t="s" s="26">
        <v>59</v>
      </c>
      <c r="M78" s="23" cm="1">
        <f t="array" ref="M78">VLOOKUP(L78,'Rating Lookup'!$A2:$B138,2,FALSE)</f>
        <v>1.35598510611147</v>
      </c>
      <c r="N78" t="s" s="26">
        <v>44</v>
      </c>
      <c r="O78" s="23" cm="1">
        <f t="array" ref="O78">VLOOKUP(N78,'Rating Lookup'!$A2:$B138,2,FALSE)</f>
        <v>2.62459139012443</v>
      </c>
      <c r="P78" s="23" cm="1">
        <f t="array" ref="P78">AVERAGE(C78,E78,G78,I78,K78,M78,O78)</f>
        <v>0.127355810546623</v>
      </c>
    </row>
    <row r="79" ht="13.55" customHeight="1">
      <c r="A79" t="s" s="26">
        <v>79</v>
      </c>
      <c r="B79" t="s" s="26">
        <v>114</v>
      </c>
      <c r="C79" s="23" cm="1">
        <f t="array" ref="C79">VLOOKUP(B79,'Rating Lookup'!$A2:$B138,2,FALSE)</f>
        <v>-3.48946206869539</v>
      </c>
      <c r="D79" t="s" s="26">
        <v>118</v>
      </c>
      <c r="E79" s="23" cm="1">
        <f t="array" ref="E79">VLOOKUP(D79,'Rating Lookup'!$A2:$B138,2,FALSE)</f>
        <v>-3.83643338464872</v>
      </c>
      <c r="F79" t="s" s="26">
        <v>62</v>
      </c>
      <c r="G79" s="23" cm="1">
        <f t="array" ref="G79">VLOOKUP(F79,'Rating Lookup'!$A2:$B138,2,FALSE)</f>
        <v>0.66379483818593</v>
      </c>
      <c r="H79" t="s" s="26">
        <v>51</v>
      </c>
      <c r="I79" s="23" cm="1">
        <f t="array" ref="I79">VLOOKUP(H79,'Rating Lookup'!$A2:$B138,2,FALSE)</f>
        <v>1.92271517987119</v>
      </c>
      <c r="J79" t="s" s="26">
        <v>9</v>
      </c>
      <c r="K79" s="23" cm="1">
        <f t="array" ref="K79">VLOOKUP(J79,'Rating Lookup'!$A2:$B138,2,FALSE)</f>
        <v>6.03187766748243</v>
      </c>
      <c r="L79" t="s" s="26">
        <v>116</v>
      </c>
      <c r="M79" s="23" cm="1">
        <f t="array" ref="M79">VLOOKUP(L79,'Rating Lookup'!$A2:$B138,2,FALSE)</f>
        <v>-3.76562451732892</v>
      </c>
      <c r="N79" t="s" s="26">
        <v>42</v>
      </c>
      <c r="O79" s="23" cm="1">
        <f t="array" ref="O79">VLOOKUP(N79,'Rating Lookup'!$A2:$B138,2,FALSE)</f>
        <v>2.74320770982259</v>
      </c>
      <c r="P79" s="23" cm="1">
        <f t="array" ref="P79">AVERAGE(C79,E79,G79,I79,K79,M79,O79)</f>
        <v>0.0385822035270157</v>
      </c>
    </row>
    <row r="80" ht="13.55" customHeight="1">
      <c r="A80" t="s" s="26">
        <v>85</v>
      </c>
      <c r="B80" t="s" s="26">
        <v>112</v>
      </c>
      <c r="C80" s="23" cm="1">
        <f t="array" ref="C80">VLOOKUP(B80,'Rating Lookup'!$A2:$B138,2,FALSE)</f>
        <v>-3.30058825776286</v>
      </c>
      <c r="D80" t="s" s="26">
        <v>117</v>
      </c>
      <c r="E80" s="23" cm="1">
        <f t="array" ref="E80">VLOOKUP(D80,'Rating Lookup'!$A2:$B138,2,FALSE)</f>
        <v>-3.77709009717078</v>
      </c>
      <c r="F80" t="s" s="26">
        <v>105</v>
      </c>
      <c r="G80" s="23" cm="1">
        <f t="array" ref="G80">VLOOKUP(F80,'Rating Lookup'!$A2:$B138,2,FALSE)</f>
        <v>-2.70831005953648</v>
      </c>
      <c r="H80" t="s" s="26">
        <v>110</v>
      </c>
      <c r="I80" s="23" cm="1">
        <f t="array" ref="I80">VLOOKUP(H80,'Rating Lookup'!$A2:$B138,2,FALSE)</f>
        <v>-3.24214829876599</v>
      </c>
      <c r="J80" t="s" s="26">
        <v>39</v>
      </c>
      <c r="K80" s="23" cm="1">
        <f t="array" ref="K80">VLOOKUP(J80,'Rating Lookup'!$A2:$B138,2,FALSE)</f>
        <v>3.10202729206284</v>
      </c>
      <c r="L80" t="s" s="26">
        <v>89</v>
      </c>
      <c r="M80" s="23" cm="1">
        <f t="array" ref="M80">VLOOKUP(L80,'Rating Lookup'!$A2:$B138,2,FALSE)</f>
        <v>-1.465873424251</v>
      </c>
      <c r="N80" t="s" s="26">
        <v>86</v>
      </c>
      <c r="O80" s="23" cm="1">
        <f t="array" ref="O80">VLOOKUP(N80,'Rating Lookup'!$A2:$B138,2,FALSE)</f>
        <v>-1.16960524424737</v>
      </c>
      <c r="P80" s="23" cm="1">
        <f t="array" ref="P80">AVERAGE(C80,E80,G80,I80,K80,M80,O80)</f>
        <v>-1.79451258423881</v>
      </c>
    </row>
    <row r="81" ht="13.55" customHeight="1">
      <c r="A81" t="s" s="26">
        <v>5</v>
      </c>
      <c r="B81" t="s" s="26">
        <v>60</v>
      </c>
      <c r="C81" s="23" cm="1">
        <f t="array" ref="C81">VLOOKUP(B81,'Rating Lookup'!$A2:$B138,2,FALSE)</f>
        <v>1.18530535993094</v>
      </c>
      <c r="D81" t="s" s="26">
        <v>52</v>
      </c>
      <c r="E81" s="23" cm="1">
        <f t="array" ref="E81">VLOOKUP(D81,'Rating Lookup'!$A2:$B138,2,FALSE)</f>
        <v>1.88863509001956</v>
      </c>
      <c r="F81" t="s" s="26">
        <v>11</v>
      </c>
      <c r="G81" s="23" cm="1">
        <f t="array" ref="G81">VLOOKUP(F81,'Rating Lookup'!$A2:$B138,2,FALSE)</f>
        <v>5.67199536229164</v>
      </c>
      <c r="H81" t="s" s="26">
        <v>101</v>
      </c>
      <c r="I81" s="23" cm="1">
        <f t="array" ref="I81">VLOOKUP(H81,'Rating Lookup'!$A2:$B138,2,FALSE)</f>
        <v>-2.49383104131239</v>
      </c>
      <c r="J81" t="s" s="26">
        <v>56</v>
      </c>
      <c r="K81" s="23" cm="1">
        <f t="array" ref="K81">VLOOKUP(J81,'Rating Lookup'!$A2:$B138,2,FALSE)</f>
        <v>1.60624122091741</v>
      </c>
      <c r="L81" t="s" s="26">
        <v>86</v>
      </c>
      <c r="M81" s="23" cm="1">
        <f t="array" ref="M81">VLOOKUP(L81,'Rating Lookup'!$A2:$B138,2,FALSE)</f>
        <v>-1.16960524424737</v>
      </c>
      <c r="N81" t="s" s="26">
        <v>76</v>
      </c>
      <c r="O81" s="23" cm="1">
        <f t="array" ref="O81">VLOOKUP(N81,'Rating Lookup'!$A2:$B138,2,FALSE)</f>
        <v>-0.53831981595041</v>
      </c>
      <c r="P81" s="23" cm="1">
        <f t="array" ref="P81">AVERAGE(C81,E81,G81,I81,K81,M81,O81)</f>
        <v>0.878631561664197</v>
      </c>
    </row>
    <row r="82" ht="13.55" customHeight="1">
      <c r="A82" t="s" s="26">
        <v>83</v>
      </c>
      <c r="B82" t="s" s="26">
        <v>92</v>
      </c>
      <c r="C82" s="23" cm="1">
        <f t="array" ref="C82">VLOOKUP(B82,'Rating Lookup'!$A2:$B138,2,FALSE)</f>
        <v>-1.87051168400926</v>
      </c>
      <c r="D82" t="s" s="26">
        <v>136</v>
      </c>
      <c r="E82" s="23" cm="1">
        <f t="array" ref="E82">VLOOKUP(D82,'Rating Lookup'!$A2:$B138,2,FALSE)</f>
        <v>-5.94609839358734</v>
      </c>
      <c r="F82" t="s" s="26">
        <v>93</v>
      </c>
      <c r="G82" s="23" cm="1">
        <f t="array" ref="G82">VLOOKUP(F82,'Rating Lookup'!$A2:$B138,2,FALSE)</f>
        <v>-1.89357854452855</v>
      </c>
      <c r="H82" t="s" s="26">
        <v>28</v>
      </c>
      <c r="I82" s="23" cm="1">
        <f t="array" ref="I82">VLOOKUP(H82,'Rating Lookup'!$A2:$B138,2,FALSE)</f>
        <v>3.94267847649009</v>
      </c>
      <c r="J82" t="s" s="26">
        <v>48</v>
      </c>
      <c r="K82" s="23" cm="1">
        <f t="array" ref="K82">VLOOKUP(J82,'Rating Lookup'!$A2:$B138,2,FALSE)</f>
        <v>2.15718932731102</v>
      </c>
      <c r="L82" t="s" s="26">
        <v>103</v>
      </c>
      <c r="M82" s="23" cm="1">
        <f t="array" ref="M82">VLOOKUP(L82,'Rating Lookup'!$A2:$B138,2,FALSE)</f>
        <v>-2.57170378386919</v>
      </c>
      <c r="N82" t="s" s="26">
        <v>36</v>
      </c>
      <c r="O82" s="23" cm="1">
        <f t="array" ref="O82">VLOOKUP(N82,'Rating Lookup'!$A2:$B138,2,FALSE)</f>
        <v>3.26105716610947</v>
      </c>
      <c r="P82" s="23" cm="1">
        <f t="array" ref="P82">AVERAGE(C82,E82,G82,I82,K82,M82,O82)</f>
        <v>-0.41728106229768</v>
      </c>
    </row>
    <row r="83" ht="13.55" customHeight="1">
      <c r="A83" t="s" s="26">
        <v>16</v>
      </c>
      <c r="B83" t="s" s="26">
        <v>128</v>
      </c>
      <c r="C83" s="23" cm="1">
        <f t="array" ref="C83">VLOOKUP(B83,'Rating Lookup'!$A2:$B138,2,FALSE)</f>
        <v>-4.71872907684507</v>
      </c>
      <c r="D83" t="s" s="26">
        <v>70</v>
      </c>
      <c r="E83" s="23" cm="1">
        <f t="array" ref="E83">VLOOKUP(D83,'Rating Lookup'!$A2:$B138,2,FALSE)</f>
        <v>0.14360151048081</v>
      </c>
      <c r="F83" t="s" s="26">
        <v>20</v>
      </c>
      <c r="G83" s="23" cm="1">
        <f t="array" ref="G83">VLOOKUP(F83,'Rating Lookup'!$A2:$B138,2,FALSE)</f>
        <v>4.57875396195659</v>
      </c>
      <c r="H83" t="s" s="26">
        <v>68</v>
      </c>
      <c r="I83" s="23" cm="1">
        <f t="array" ref="I83">VLOOKUP(H83,'Rating Lookup'!$A2:$B138,2,FALSE)</f>
        <v>0.248638585007207</v>
      </c>
      <c r="J83" t="s" s="26">
        <v>97</v>
      </c>
      <c r="K83" s="23" cm="1">
        <f t="array" ref="K83">VLOOKUP(J83,'Rating Lookup'!$A2:$B138,2,FALSE)</f>
        <v>-2.05013712658942</v>
      </c>
      <c r="L83" t="s" s="26">
        <v>108</v>
      </c>
      <c r="M83" s="23" cm="1">
        <f t="array" ref="M83">VLOOKUP(L83,'Rating Lookup'!$A2:$B138,2,FALSE)</f>
        <v>-2.91762373109868</v>
      </c>
      <c r="N83" t="s" s="26">
        <v>26</v>
      </c>
      <c r="O83" s="23" cm="1">
        <f t="array" ref="O83">VLOOKUP(N83,'Rating Lookup'!$A2:$B138,2,FALSE)</f>
        <v>4.01425721966897</v>
      </c>
      <c r="P83" s="23" cm="1">
        <f t="array" ref="P83">AVERAGE(C83,E83,G83,I83,K83,M83,O83)</f>
        <v>-0.100176951059942</v>
      </c>
    </row>
    <row r="84" ht="13.55" customHeight="1">
      <c r="A84" t="s" s="26">
        <v>11</v>
      </c>
      <c r="B84" t="s" s="26">
        <v>7</v>
      </c>
      <c r="C84" s="23" cm="1">
        <f t="array" ref="C84">VLOOKUP(B84,'Rating Lookup'!$A2:$B138,2,FALSE)</f>
        <v>6.81991318008486</v>
      </c>
      <c r="D84" t="s" s="26">
        <v>71</v>
      </c>
      <c r="E84" s="23" cm="1">
        <f t="array" ref="E84">VLOOKUP(D84,'Rating Lookup'!$A2:$B138,2,FALSE)</f>
        <v>0.018556443215437</v>
      </c>
      <c r="F84" t="s" s="26">
        <v>5</v>
      </c>
      <c r="G84" s="23" cm="1">
        <f t="array" ref="G84">VLOOKUP(F84,'Rating Lookup'!$A2:$B138,2,FALSE)</f>
        <v>7.75371529836661</v>
      </c>
      <c r="H84" t="s" s="26">
        <v>114</v>
      </c>
      <c r="I84" s="23" cm="1">
        <f t="array" ref="I84">VLOOKUP(H84,'Rating Lookup'!$A2:$B138,2,FALSE)</f>
        <v>-3.48946206869539</v>
      </c>
      <c r="J84" t="s" s="26">
        <v>20</v>
      </c>
      <c r="K84" s="23" cm="1">
        <f t="array" ref="K84">VLOOKUP(J84,'Rating Lookup'!$A2:$B138,2,FALSE)</f>
        <v>4.57875396195659</v>
      </c>
      <c r="L84" t="s" s="26">
        <v>50</v>
      </c>
      <c r="M84" s="23" cm="1">
        <f t="array" ref="M84">VLOOKUP(L84,'Rating Lookup'!$A2:$B138,2,FALSE)</f>
        <v>1.94954402902408</v>
      </c>
      <c r="N84" t="s" s="26">
        <v>112</v>
      </c>
      <c r="O84" s="23" cm="1">
        <f t="array" ref="O84">VLOOKUP(N84,'Rating Lookup'!$A2:$B138,2,FALSE)</f>
        <v>-3.30058825776286</v>
      </c>
      <c r="P84" s="23" cm="1">
        <f t="array" ref="P84">AVERAGE(C84,E84,G84,I84,K84,M84,O84)</f>
        <v>2.0472046551699</v>
      </c>
    </row>
    <row r="85" ht="13.55" customHeight="1">
      <c r="A85" t="s" s="26">
        <v>114</v>
      </c>
      <c r="B85" t="s" s="26">
        <v>79</v>
      </c>
      <c r="C85" s="23" cm="1">
        <f t="array" ref="C85">VLOOKUP(B85,'Rating Lookup'!$A2:$B138,2,FALSE)</f>
        <v>-0.836360098479986</v>
      </c>
      <c r="D85" t="s" s="26">
        <v>96</v>
      </c>
      <c r="E85" s="23" cm="1">
        <f t="array" ref="E85">VLOOKUP(D85,'Rating Lookup'!$A2:$B138,2,FALSE)</f>
        <v>-1.92985341790185</v>
      </c>
      <c r="F85" t="s" s="26">
        <v>130</v>
      </c>
      <c r="G85" s="23" cm="1">
        <f t="array" ref="G85">VLOOKUP(F85,'Rating Lookup'!$A2:$B138,2,FALSE)</f>
        <v>-5.03311458515405</v>
      </c>
      <c r="H85" t="s" s="26">
        <v>11</v>
      </c>
      <c r="I85" s="23" cm="1">
        <f t="array" ref="I85">VLOOKUP(H85,'Rating Lookup'!$A2:$B138,2,FALSE)</f>
        <v>5.67199536229164</v>
      </c>
      <c r="J85" t="s" s="26">
        <v>110</v>
      </c>
      <c r="K85" s="23" cm="1">
        <f t="array" ref="K85">VLOOKUP(J85,'Rating Lookup'!$A2:$B138,2,FALSE)</f>
        <v>-3.24214829876599</v>
      </c>
      <c r="L85" t="s" s="26">
        <v>62</v>
      </c>
      <c r="M85" s="23" cm="1">
        <f t="array" ref="M85">VLOOKUP(L85,'Rating Lookup'!$A2:$B138,2,FALSE)</f>
        <v>0.66379483818593</v>
      </c>
      <c r="N85" t="s" s="26">
        <v>29</v>
      </c>
      <c r="O85" s="23" cm="1">
        <f t="array" ref="O85">VLOOKUP(N85,'Rating Lookup'!$A2:$B138,2,FALSE)</f>
        <v>3.90358287595508</v>
      </c>
      <c r="P85" s="23" cm="1">
        <f t="array" ref="P85">AVERAGE(C85,E85,G85,I85,K85,M85,O85)</f>
        <v>-0.114586189124175</v>
      </c>
    </row>
    <row r="86" ht="13.55" customHeight="1">
      <c r="A86" t="s" s="26">
        <v>70</v>
      </c>
      <c r="B86" t="s" s="26">
        <v>17</v>
      </c>
      <c r="C86" s="23" cm="1">
        <f t="array" ref="C86">VLOOKUP(B86,'Rating Lookup'!$A2:$B138,2,FALSE)</f>
        <v>5.22830415963158</v>
      </c>
      <c r="D86" t="s" s="26">
        <v>16</v>
      </c>
      <c r="E86" s="23" cm="1">
        <f t="array" ref="E86">VLOOKUP(D86,'Rating Lookup'!$A2:$B138,2,FALSE)</f>
        <v>5.27483839422214</v>
      </c>
      <c r="F86" t="s" s="26">
        <v>46</v>
      </c>
      <c r="G86" s="23" cm="1">
        <f t="array" ref="G86">VLOOKUP(F86,'Rating Lookup'!$A2:$B138,2,FALSE)</f>
        <v>2.24485292723666</v>
      </c>
      <c r="H86" t="s" s="26">
        <v>40</v>
      </c>
      <c r="I86" s="23" cm="1">
        <f t="array" ref="I86">VLOOKUP(H86,'Rating Lookup'!$A2:$B138,2,FALSE)</f>
        <v>2.81548972381729</v>
      </c>
      <c r="J86" t="s" s="26">
        <v>62</v>
      </c>
      <c r="K86" s="23" cm="1">
        <f t="array" ref="K86">VLOOKUP(J86,'Rating Lookup'!$A2:$B138,2,FALSE)</f>
        <v>0.66379483818593</v>
      </c>
      <c r="L86" t="s" s="26">
        <v>36</v>
      </c>
      <c r="M86" s="23" cm="1">
        <f t="array" ref="M86">VLOOKUP(L86,'Rating Lookup'!$A2:$B138,2,FALSE)</f>
        <v>3.26105716610947</v>
      </c>
      <c r="N86" t="s" s="26">
        <v>6</v>
      </c>
      <c r="O86" s="23" cm="1">
        <f t="array" ref="O86">VLOOKUP(N86,'Rating Lookup'!$A2:$B138,2,FALSE)</f>
        <v>6.89188674772828</v>
      </c>
      <c r="P86" s="23" cm="1">
        <f t="array" ref="P86">AVERAGE(C86,E86,G86,I86,K86,M86,O86)</f>
        <v>3.76860342241876</v>
      </c>
    </row>
    <row r="87" ht="13.55" customHeight="1">
      <c r="A87" t="s" s="26">
        <v>7</v>
      </c>
      <c r="B87" t="s" s="26">
        <v>11</v>
      </c>
      <c r="C87" s="23" cm="1">
        <f t="array" ref="C87">VLOOKUP(B87,'Rating Lookup'!$A2:$B138,2,FALSE)</f>
        <v>5.67199536229164</v>
      </c>
      <c r="D87" t="s" s="26">
        <v>91</v>
      </c>
      <c r="E87" s="23" cm="1">
        <f t="array" ref="E87">VLOOKUP(D87,'Rating Lookup'!$A2:$B138,2,FALSE)</f>
        <v>-1.86915335849158</v>
      </c>
      <c r="F87" t="s" s="26">
        <v>14</v>
      </c>
      <c r="G87" s="23" cm="1">
        <f t="array" ref="G87">VLOOKUP(F87,'Rating Lookup'!$A2:$B138,2,FALSE)</f>
        <v>5.51360480483848</v>
      </c>
      <c r="H87" t="s" s="26">
        <v>124</v>
      </c>
      <c r="I87" s="23" cm="1">
        <f t="array" ref="I87">VLOOKUP(H87,'Rating Lookup'!$A2:$B138,2,FALSE)</f>
        <v>-4.3473535064778</v>
      </c>
      <c r="J87" t="s" s="26">
        <v>17</v>
      </c>
      <c r="K87" s="23" cm="1">
        <f t="array" ref="K87">VLOOKUP(J87,'Rating Lookup'!$A2:$B138,2,FALSE)</f>
        <v>5.22830415963158</v>
      </c>
      <c r="L87" t="s" s="26">
        <v>51</v>
      </c>
      <c r="M87" s="23" cm="1">
        <f t="array" ref="M87">VLOOKUP(L87,'Rating Lookup'!$A2:$B138,2,FALSE)</f>
        <v>1.92271517987119</v>
      </c>
      <c r="N87" t="s" s="26">
        <v>37</v>
      </c>
      <c r="O87" s="23" cm="1">
        <f t="array" ref="O87">VLOOKUP(N87,'Rating Lookup'!$A2:$B138,2,FALSE)</f>
        <v>3.24335785314622</v>
      </c>
      <c r="P87" s="23" cm="1">
        <f t="array" ref="P87">AVERAGE(C87,E87,G87,I87,K87,M87,O87)</f>
        <v>2.19478149925853</v>
      </c>
    </row>
    <row r="88" ht="13.55" customHeight="1">
      <c r="A88" t="s" s="26">
        <v>113</v>
      </c>
      <c r="B88" t="s" s="26">
        <v>91</v>
      </c>
      <c r="C88" s="23" cm="1">
        <f t="array" ref="C88">VLOOKUP(B88,'Rating Lookup'!$A2:$B138,2,FALSE)</f>
        <v>-1.86915335849158</v>
      </c>
      <c r="D88" t="s" s="26">
        <v>48</v>
      </c>
      <c r="E88" s="23" cm="1">
        <f t="array" ref="E88">VLOOKUP(D88,'Rating Lookup'!$A2:$B138,2,FALSE)</f>
        <v>2.15718932731102</v>
      </c>
      <c r="F88" t="s" s="26">
        <v>36</v>
      </c>
      <c r="G88" s="23" cm="1">
        <f t="array" ref="G88">VLOOKUP(F88,'Rating Lookup'!$A2:$B138,2,FALSE)</f>
        <v>3.26105716610947</v>
      </c>
      <c r="H88" t="s" s="26">
        <v>97</v>
      </c>
      <c r="I88" s="23" cm="1">
        <f t="array" ref="I88">VLOOKUP(H88,'Rating Lookup'!$A2:$B138,2,FALSE)</f>
        <v>-2.05013712658942</v>
      </c>
      <c r="J88" t="s" s="26">
        <v>86</v>
      </c>
      <c r="K88" s="23" cm="1">
        <f t="array" ref="K88">VLOOKUP(J88,'Rating Lookup'!$A2:$B138,2,FALSE)</f>
        <v>-1.16960524424737</v>
      </c>
      <c r="L88" t="s" s="26">
        <v>90</v>
      </c>
      <c r="M88" s="23" cm="1">
        <f t="array" ref="M88">VLOOKUP(L88,'Rating Lookup'!$A2:$B138,2,FALSE)</f>
        <v>-1.62598908807918</v>
      </c>
      <c r="N88" t="s" s="26">
        <v>57</v>
      </c>
      <c r="O88" s="23" cm="1">
        <f t="array" ref="O88">VLOOKUP(N88,'Rating Lookup'!$A2:$B138,2,FALSE)</f>
        <v>1.60467129115595</v>
      </c>
      <c r="P88" s="23" cm="1">
        <f t="array" ref="P88">AVERAGE(C88,E88,G88,I88,K88,M88,O88)</f>
        <v>0.0440047095955557</v>
      </c>
    </row>
    <row r="89" ht="13.55" customHeight="1">
      <c r="A89" t="s" s="26">
        <v>39</v>
      </c>
      <c r="B89" t="s" s="26">
        <v>106</v>
      </c>
      <c r="C89" s="23" cm="1">
        <f t="array" ref="C89">VLOOKUP(B89,'Rating Lookup'!$A2:$B138,2,FALSE)</f>
        <v>-2.74762863241334</v>
      </c>
      <c r="D89" t="s" s="26">
        <v>121</v>
      </c>
      <c r="E89" s="23" cm="1">
        <f t="array" ref="E89">VLOOKUP(D89,'Rating Lookup'!$A2:$B138,2,FALSE)</f>
        <v>-4.08640151456241</v>
      </c>
      <c r="F89" t="s" s="26">
        <v>6</v>
      </c>
      <c r="G89" s="23" cm="1">
        <f t="array" ref="G89">VLOOKUP(F89,'Rating Lookup'!$A2:$B138,2,FALSE)</f>
        <v>6.89188674772828</v>
      </c>
      <c r="H89" t="s" s="26">
        <v>98</v>
      </c>
      <c r="I89" s="23" cm="1">
        <f t="array" ref="I89">VLOOKUP(H89,'Rating Lookup'!$A2:$B138,2,FALSE)</f>
        <v>-2.14818495614045</v>
      </c>
      <c r="J89" t="s" s="26">
        <v>85</v>
      </c>
      <c r="K89" s="23" cm="1">
        <f t="array" ref="K89">VLOOKUP(J89,'Rating Lookup'!$A2:$B138,2,FALSE)</f>
        <v>-1.16950431848081</v>
      </c>
      <c r="L89" t="s" s="26">
        <v>91</v>
      </c>
      <c r="M89" s="23" cm="1">
        <f t="array" ref="M89">VLOOKUP(L89,'Rating Lookup'!$A2:$B138,2,FALSE)</f>
        <v>-1.86915335849158</v>
      </c>
      <c r="N89" t="s" s="26">
        <v>132</v>
      </c>
      <c r="O89" s="23" cm="1">
        <f t="array" ref="O89">VLOOKUP(N89,'Rating Lookup'!$A2:$B138,2,FALSE)</f>
        <v>-5.53252093819443</v>
      </c>
      <c r="P89" s="23" cm="1">
        <f t="array" ref="P89">AVERAGE(C89,E89,G89,I89,K89,M89,O89)</f>
        <v>-1.52307242436496</v>
      </c>
    </row>
    <row r="90" ht="13.55" customHeight="1">
      <c r="A90" t="s" s="26">
        <v>45</v>
      </c>
      <c r="B90" t="s" s="26">
        <v>52</v>
      </c>
      <c r="C90" s="23" cm="1">
        <f t="array" ref="C90">VLOOKUP(B90,'Rating Lookup'!$A2:$B138,2,FALSE)</f>
        <v>1.88863509001956</v>
      </c>
      <c r="D90" t="s" s="26">
        <v>94</v>
      </c>
      <c r="E90" s="23" cm="1">
        <f t="array" ref="E90">VLOOKUP(D90,'Rating Lookup'!$A2:$B138,2,FALSE)</f>
        <v>-1.91272420043442</v>
      </c>
      <c r="F90" t="s" s="26">
        <v>77</v>
      </c>
      <c r="G90" s="23" cm="1">
        <f t="array" ref="G90">VLOOKUP(F90,'Rating Lookup'!$A2:$B138,2,FALSE)</f>
        <v>-0.54225690934153</v>
      </c>
      <c r="H90" t="s" s="26">
        <v>129</v>
      </c>
      <c r="I90" s="23" cm="1">
        <f t="array" ref="I90">VLOOKUP(H90,'Rating Lookup'!$A2:$B138,2,FALSE)</f>
        <v>-4.82358776660641</v>
      </c>
      <c r="J90" t="s" s="26">
        <v>130</v>
      </c>
      <c r="K90" s="23" cm="1">
        <f t="array" ref="K90">VLOOKUP(J90,'Rating Lookup'!$A2:$B138,2,FALSE)</f>
        <v>-5.03311458515405</v>
      </c>
      <c r="L90" t="s" s="26">
        <v>125</v>
      </c>
      <c r="M90" s="23" cm="1">
        <f t="array" ref="M90">VLOOKUP(L90,'Rating Lookup'!$A2:$B138,2,FALSE)</f>
        <v>-4.34735517155842</v>
      </c>
      <c r="N90" t="s" s="26">
        <v>126</v>
      </c>
      <c r="O90" s="23" cm="1">
        <f t="array" ref="O90">VLOOKUP(N90,'Rating Lookup'!$A2:$B138,2,FALSE)</f>
        <v>-4.4638143553882</v>
      </c>
      <c r="P90" s="23" cm="1">
        <f t="array" ref="P90">AVERAGE(C90,E90,G90,I90,K90,M90,O90)</f>
        <v>-2.74774541406621</v>
      </c>
    </row>
    <row r="91" ht="13.55" customHeight="1">
      <c r="A91" t="s" s="26">
        <v>91</v>
      </c>
      <c r="B91" t="s" s="26">
        <v>113</v>
      </c>
      <c r="C91" s="23" cm="1">
        <f t="array" ref="C91">VLOOKUP(B91,'Rating Lookup'!$A2:$B138,2,FALSE)</f>
        <v>-3.33099720766006</v>
      </c>
      <c r="D91" t="s" s="26">
        <v>7</v>
      </c>
      <c r="E91" s="23" cm="1">
        <f t="array" ref="E91">VLOOKUP(D91,'Rating Lookup'!$A2:$B138,2,FALSE)</f>
        <v>6.81991318008486</v>
      </c>
      <c r="F91" t="s" s="26">
        <v>138</v>
      </c>
      <c r="G91" s="23" cm="1">
        <f t="array" ref="G91">VLOOKUP(F91,'Rating Lookup'!$A2:$B138,2,FALSE)</f>
        <v>-7.42780318353212</v>
      </c>
      <c r="H91" t="s" s="26">
        <v>25</v>
      </c>
      <c r="I91" s="23" cm="1">
        <f t="array" ref="I91">VLOOKUP(H91,'Rating Lookup'!$A2:$B138,2,FALSE)</f>
        <v>4.26570683475592</v>
      </c>
      <c r="J91" t="s" s="26">
        <v>23</v>
      </c>
      <c r="K91" s="23" cm="1">
        <f t="array" ref="K91">VLOOKUP(J91,'Rating Lookup'!$A2:$B138,2,FALSE)</f>
        <v>4.40189201585545</v>
      </c>
      <c r="L91" t="s" s="26">
        <v>39</v>
      </c>
      <c r="M91" s="23" cm="1">
        <f t="array" ref="M91">VLOOKUP(L91,'Rating Lookup'!$A2:$B138,2,FALSE)</f>
        <v>3.10202729206284</v>
      </c>
      <c r="N91" t="s" s="26">
        <v>102</v>
      </c>
      <c r="O91" s="23" cm="1">
        <f t="array" ref="O91">VLOOKUP(N91,'Rating Lookup'!$A2:$B138,2,FALSE)</f>
        <v>-2.53885665448911</v>
      </c>
      <c r="P91" s="23" cm="1">
        <f t="array" ref="P91">AVERAGE(C91,E91,G91,I91,K91,M91,O91)</f>
        <v>0.755983182439683</v>
      </c>
    </row>
    <row r="92" ht="13.55" customHeight="1">
      <c r="A92" t="s" s="26">
        <v>135</v>
      </c>
      <c r="B92" t="s" s="26">
        <v>117</v>
      </c>
      <c r="C92" s="23" cm="1">
        <f t="array" ref="C92">VLOOKUP(B92,'Rating Lookup'!$A2:$B138,2,FALSE)</f>
        <v>-3.77709009717078</v>
      </c>
      <c r="D92" t="s" s="26">
        <v>76</v>
      </c>
      <c r="E92" s="23" cm="1">
        <f t="array" ref="E92">VLOOKUP(D92,'Rating Lookup'!$A2:$B138,2,FALSE)</f>
        <v>-0.53831981595041</v>
      </c>
      <c r="F92" t="s" s="26">
        <v>106</v>
      </c>
      <c r="G92" s="23" cm="1">
        <f t="array" ref="G92">VLOOKUP(F92,'Rating Lookup'!$A2:$B138,2,FALSE)</f>
        <v>-2.74762863241334</v>
      </c>
      <c r="H92" t="s" s="26">
        <v>100</v>
      </c>
      <c r="I92" s="23" cm="1">
        <f t="array" ref="I92">VLOOKUP(H92,'Rating Lookup'!$A2:$B138,2,FALSE)</f>
        <v>-2.2314514587537</v>
      </c>
      <c r="J92" t="s" s="26">
        <v>140</v>
      </c>
      <c r="K92" s="23" cm="1">
        <f t="array" ref="K92">VLOOKUP(J92,'Rating Lookup'!$A2:$B138,2,FALSE)</f>
        <v>-9.31654300434057</v>
      </c>
      <c r="L92" t="s" s="26">
        <v>110</v>
      </c>
      <c r="M92" s="23" cm="1">
        <f t="array" ref="M92">VLOOKUP(L92,'Rating Lookup'!$A2:$B138,2,FALSE)</f>
        <v>-3.24214829876599</v>
      </c>
      <c r="N92" t="s" s="26">
        <v>64</v>
      </c>
      <c r="O92" s="23" cm="1">
        <f t="array" ref="O92">VLOOKUP(N92,'Rating Lookup'!$A2:$B138,2,FALSE)</f>
        <v>0.5861765857014</v>
      </c>
      <c r="P92" s="23" cm="1">
        <f t="array" ref="P92">AVERAGE(C92,E92,G92,I92,K92,M92,O92)</f>
        <v>-3.03814353167048</v>
      </c>
    </row>
    <row r="93" ht="13.55" customHeight="1">
      <c r="A93" t="s" s="26">
        <v>89</v>
      </c>
      <c r="B93" t="s" s="26">
        <v>58</v>
      </c>
      <c r="C93" s="23" cm="1">
        <f t="array" ref="C93">VLOOKUP(B93,'Rating Lookup'!$A2:$B138,2,FALSE)</f>
        <v>1.46004862122864</v>
      </c>
      <c r="D93" t="s" s="26">
        <v>30</v>
      </c>
      <c r="E93" s="23" cm="1">
        <f t="array" ref="E93">VLOOKUP(D93,'Rating Lookup'!$A2:$B138,2,FALSE)</f>
        <v>3.69943647894699</v>
      </c>
      <c r="F93" t="s" s="26">
        <v>128</v>
      </c>
      <c r="G93" s="23" cm="1">
        <f t="array" ref="G93">VLOOKUP(F93,'Rating Lookup'!$A2:$B138,2,FALSE)</f>
        <v>-4.71872907684507</v>
      </c>
      <c r="H93" t="s" s="26">
        <v>81</v>
      </c>
      <c r="I93" s="23" cm="1">
        <f t="array" ref="I93">VLOOKUP(H93,'Rating Lookup'!$A2:$B138,2,FALSE)</f>
        <v>-0.88177362772117</v>
      </c>
      <c r="J93" t="s" s="26">
        <v>128</v>
      </c>
      <c r="K93" s="23" cm="1">
        <f t="array" ref="K93">VLOOKUP(J93,'Rating Lookup'!$A2:$B138,2,FALSE)</f>
        <v>-4.71872907684507</v>
      </c>
      <c r="L93" t="s" s="26">
        <v>85</v>
      </c>
      <c r="M93" s="23" cm="1">
        <f t="array" ref="M93">VLOOKUP(L93,'Rating Lookup'!$A2:$B138,2,FALSE)</f>
        <v>-1.16950431848081</v>
      </c>
      <c r="N93" t="s" s="26">
        <v>28</v>
      </c>
      <c r="O93" s="23" cm="1">
        <f t="array" ref="O93">VLOOKUP(N93,'Rating Lookup'!$A2:$B138,2,FALSE)</f>
        <v>3.94267847649009</v>
      </c>
      <c r="P93" s="23" cm="1">
        <f t="array" ref="P93">AVERAGE(C93,E93,G93,I93,K93,M93,O93)</f>
        <v>-0.340938931889486</v>
      </c>
    </row>
    <row r="94" ht="13.55" customHeight="1">
      <c r="A94" t="s" s="26">
        <v>108</v>
      </c>
      <c r="B94" t="s" s="26">
        <v>74</v>
      </c>
      <c r="C94" s="23" cm="1">
        <f t="array" ref="C94">VLOOKUP(B94,'Rating Lookup'!$A2:$B138,2,FALSE)</f>
        <v>-0.46501955700663</v>
      </c>
      <c r="D94" t="s" s="26">
        <v>133</v>
      </c>
      <c r="E94" s="23" cm="1">
        <f t="array" ref="E94">VLOOKUP(D94,'Rating Lookup'!$A2:$B138,2,FALSE)</f>
        <v>-5.55857628514641</v>
      </c>
      <c r="F94" t="s" s="26">
        <v>44</v>
      </c>
      <c r="G94" s="23" cm="1">
        <f t="array" ref="G94">VLOOKUP(F94,'Rating Lookup'!$A2:$B138,2,FALSE)</f>
        <v>2.62459139012443</v>
      </c>
      <c r="H94" t="s" s="26">
        <v>87</v>
      </c>
      <c r="I94" s="23" cm="1">
        <f t="array" ref="I94">VLOOKUP(H94,'Rating Lookup'!$A2:$B138,2,FALSE)</f>
        <v>-1.20871388306861</v>
      </c>
      <c r="J94" t="s" s="26">
        <v>19</v>
      </c>
      <c r="K94" s="23" cm="1">
        <f t="array" ref="K94">VLOOKUP(J94,'Rating Lookup'!$A2:$B138,2,FALSE)</f>
        <v>4.5934517710258</v>
      </c>
      <c r="L94" t="s" s="26">
        <v>16</v>
      </c>
      <c r="M94" s="23" cm="1">
        <f t="array" ref="M94">VLOOKUP(L94,'Rating Lookup'!$A2:$B138,2,FALSE)</f>
        <v>5.27483839422214</v>
      </c>
      <c r="N94" t="s" s="26">
        <v>133</v>
      </c>
      <c r="O94" s="23" cm="1">
        <f t="array" ref="O94">VLOOKUP(N94,'Rating Lookup'!$A2:$B138,2,FALSE)</f>
        <v>-5.55857628514641</v>
      </c>
      <c r="P94" s="23" cm="1">
        <f t="array" ref="P94">AVERAGE(C94,E94,G94,I94,K94,M94,O94)</f>
        <v>-0.0425720649993843</v>
      </c>
    </row>
    <row r="95" ht="13.55" customHeight="1">
      <c r="A95" t="s" s="26">
        <v>64</v>
      </c>
      <c r="B95" t="s" s="26">
        <v>97</v>
      </c>
      <c r="C95" s="23" cm="1">
        <f t="array" ref="C95">VLOOKUP(B95,'Rating Lookup'!$A2:$B138,2,FALSE)</f>
        <v>-2.05013712658942</v>
      </c>
      <c r="D95" t="s" s="26">
        <v>109</v>
      </c>
      <c r="E95" s="23" cm="1">
        <f t="array" ref="E95">VLOOKUP(D95,'Rating Lookup'!$A2:$B138,2,FALSE)</f>
        <v>-3.17082421974611</v>
      </c>
      <c r="F95" t="s" s="26">
        <v>100</v>
      </c>
      <c r="G95" s="23" cm="1">
        <f t="array" ref="G95">VLOOKUP(F95,'Rating Lookup'!$A2:$B138,2,FALSE)</f>
        <v>-2.2314514587537</v>
      </c>
      <c r="H95" t="s" s="26">
        <v>13</v>
      </c>
      <c r="I95" s="23" cm="1">
        <f t="array" ref="I95">VLOOKUP(H95,'Rating Lookup'!$A2:$B138,2,FALSE)</f>
        <v>5.59129696346212</v>
      </c>
      <c r="J95" t="s" s="26">
        <v>117</v>
      </c>
      <c r="K95" s="23" cm="1">
        <f t="array" ref="K95">VLOOKUP(J95,'Rating Lookup'!$A2:$B138,2,FALSE)</f>
        <v>-3.77709009717078</v>
      </c>
      <c r="L95" t="s" s="26">
        <v>127</v>
      </c>
      <c r="M95" s="23" cm="1">
        <f t="array" ref="M95">VLOOKUP(L95,'Rating Lookup'!$A2:$B138,2,FALSE)</f>
        <v>-4.46999207445372</v>
      </c>
      <c r="N95" t="s" s="26">
        <v>135</v>
      </c>
      <c r="O95" s="23" cm="1">
        <f t="array" ref="O95">VLOOKUP(N95,'Rating Lookup'!$A2:$B138,2,FALSE)</f>
        <v>-5.91317296171246</v>
      </c>
      <c r="P95" s="23" cm="1">
        <f t="array" ref="P95">AVERAGE(C95,E95,G95,I95,K95,M95,O95)</f>
        <v>-2.28876728213772</v>
      </c>
    </row>
    <row r="96" ht="13.55" customHeight="1">
      <c r="A96" t="s" s="26">
        <v>9</v>
      </c>
      <c r="B96" t="s" s="26">
        <v>100</v>
      </c>
      <c r="C96" s="23" cm="1">
        <f t="array" ref="C96">VLOOKUP(B96,'Rating Lookup'!$A2:$B138,2,FALSE)</f>
        <v>-2.2314514587537</v>
      </c>
      <c r="D96" t="s" s="26">
        <v>31</v>
      </c>
      <c r="E96" s="23" cm="1">
        <f t="array" ref="E96">VLOOKUP(D96,'Rating Lookup'!$A2:$B138,2,FALSE)</f>
        <v>3.65492759905113</v>
      </c>
      <c r="F96" t="s" s="26">
        <v>60</v>
      </c>
      <c r="G96" s="23" cm="1">
        <f t="array" ref="G96">VLOOKUP(F96,'Rating Lookup'!$A2:$B138,2,FALSE)</f>
        <v>1.18530535993094</v>
      </c>
      <c r="H96" t="s" s="26">
        <v>47</v>
      </c>
      <c r="I96" s="23" cm="1">
        <f t="array" ref="I96">VLOOKUP(H96,'Rating Lookup'!$A2:$B138,2,FALSE)</f>
        <v>2.18077992877894</v>
      </c>
      <c r="J96" t="s" s="26">
        <v>79</v>
      </c>
      <c r="K96" s="23" cm="1">
        <f t="array" ref="K96">VLOOKUP(J96,'Rating Lookup'!$A2:$B138,2,FALSE)</f>
        <v>-0.836360098479986</v>
      </c>
      <c r="L96" t="s" s="26">
        <v>12</v>
      </c>
      <c r="M96" s="23" cm="1">
        <f t="array" ref="M96">VLOOKUP(L96,'Rating Lookup'!$A2:$B138,2,FALSE)</f>
        <v>5.59982769875114</v>
      </c>
      <c r="N96" t="s" s="26">
        <v>66</v>
      </c>
      <c r="O96" s="23" cm="1">
        <f t="array" ref="O96">VLOOKUP(N96,'Rating Lookup'!$A2:$B138,2,FALSE)</f>
        <v>0.29521010233505</v>
      </c>
      <c r="P96" s="23" cm="1">
        <f t="array" ref="P96">AVERAGE(C96,E96,G96,I96,K96,M96,O96)</f>
        <v>1.40689130451622</v>
      </c>
    </row>
    <row r="97" ht="13.55" customHeight="1">
      <c r="A97" t="s" s="26">
        <v>134</v>
      </c>
      <c r="B97" t="s" s="26">
        <v>77</v>
      </c>
      <c r="C97" s="23" cm="1">
        <f t="array" ref="C97">VLOOKUP(B97,'Rating Lookup'!$A2:$B138,2,FALSE)</f>
        <v>-0.54225690934153</v>
      </c>
      <c r="D97" t="s" s="26">
        <v>80</v>
      </c>
      <c r="E97" s="23" cm="1">
        <f t="array" ref="E97">VLOOKUP(D97,'Rating Lookup'!$A2:$B138,2,FALSE)</f>
        <v>-0.84768132374283</v>
      </c>
      <c r="F97" t="s" s="26">
        <v>8</v>
      </c>
      <c r="G97" s="23" cm="1">
        <f t="array" ref="G97">VLOOKUP(F97,'Rating Lookup'!$A2:$B138,2,FALSE)</f>
        <v>6.10756515153678</v>
      </c>
      <c r="H97" t="s" s="26">
        <v>44</v>
      </c>
      <c r="I97" s="23" cm="1">
        <f t="array" ref="I97">VLOOKUP(H97,'Rating Lookup'!$A2:$B138,2,FALSE)</f>
        <v>2.62459139012443</v>
      </c>
      <c r="J97" t="s" s="26">
        <v>36</v>
      </c>
      <c r="K97" s="23" cm="1">
        <f t="array" ref="K97">VLOOKUP(J97,'Rating Lookup'!$A2:$B138,2,FALSE)</f>
        <v>3.26105716610947</v>
      </c>
      <c r="L97" t="s" s="26">
        <v>104</v>
      </c>
      <c r="M97" s="23" cm="1">
        <f t="array" ref="M97">VLOOKUP(L97,'Rating Lookup'!$A2:$B138,2,FALSE)</f>
        <v>-2.58914252844136</v>
      </c>
      <c r="N97" t="s" s="26">
        <v>49</v>
      </c>
      <c r="O97" s="23" cm="1">
        <f t="array" ref="O97">VLOOKUP(N97,'Rating Lookup'!$A2:$B138,2,FALSE)</f>
        <v>2.02733086035033</v>
      </c>
      <c r="P97" s="23" cm="1">
        <f t="array" ref="P97">AVERAGE(C97,E97,G97,I97,K97,M97,O97)</f>
        <v>1.43449482951361</v>
      </c>
    </row>
    <row r="98" ht="13.55" customHeight="1">
      <c r="A98" t="s" s="26">
        <v>47</v>
      </c>
      <c r="B98" t="s" s="26">
        <v>10</v>
      </c>
      <c r="C98" s="23" cm="1">
        <f t="array" ref="C98">VLOOKUP(B98,'Rating Lookup'!$A2:$B138,2,FALSE)</f>
        <v>5.98822025778287</v>
      </c>
      <c r="D98" t="s" s="26">
        <v>106</v>
      </c>
      <c r="E98" s="23" cm="1">
        <f t="array" ref="E98">VLOOKUP(D98,'Rating Lookup'!$A2:$B138,2,FALSE)</f>
        <v>-2.74762863241334</v>
      </c>
      <c r="F98" t="s" s="26">
        <v>49</v>
      </c>
      <c r="G98" s="23" cm="1">
        <f t="array" ref="G98">VLOOKUP(F98,'Rating Lookup'!$A2:$B138,2,FALSE)</f>
        <v>2.02733086035033</v>
      </c>
      <c r="H98" t="s" s="26">
        <v>9</v>
      </c>
      <c r="I98" s="23" cm="1">
        <f t="array" ref="I98">VLOOKUP(H98,'Rating Lookup'!$A2:$B138,2,FALSE)</f>
        <v>6.03187766748243</v>
      </c>
      <c r="J98" t="s" s="26">
        <v>84</v>
      </c>
      <c r="K98" s="23" cm="1">
        <f t="array" ref="K98">VLOOKUP(J98,'Rating Lookup'!$A2:$B138,2,FALSE)</f>
        <v>-1.04555922522911</v>
      </c>
      <c r="L98" t="s" s="26">
        <v>99</v>
      </c>
      <c r="M98" s="23" cm="1">
        <f t="array" ref="M98">VLOOKUP(L98,'Rating Lookup'!$A2:$B138,2,FALSE)</f>
        <v>-2.17781183627959</v>
      </c>
      <c r="N98" t="s" s="26">
        <v>40</v>
      </c>
      <c r="O98" s="23" cm="1">
        <f t="array" ref="O98">VLOOKUP(N98,'Rating Lookup'!$A2:$B138,2,FALSE)</f>
        <v>2.81548972381729</v>
      </c>
      <c r="P98" s="23" cm="1">
        <f t="array" ref="P98">AVERAGE(C98,E98,G98,I98,K98,M98,O98)</f>
        <v>1.55598840221584</v>
      </c>
    </row>
    <row r="99" ht="13.55" customHeight="1">
      <c r="A99" t="s" s="26">
        <v>103</v>
      </c>
      <c r="B99" t="s" s="26">
        <v>49</v>
      </c>
      <c r="C99" s="23" cm="1">
        <f t="array" ref="C99">VLOOKUP(B99,'Rating Lookup'!$A2:$B138,2,FALSE)</f>
        <v>2.02733086035033</v>
      </c>
      <c r="D99" t="s" s="26">
        <v>6</v>
      </c>
      <c r="E99" s="23" cm="1">
        <f t="array" ref="E99">VLOOKUP(D99,'Rating Lookup'!$A2:$B138,2,FALSE)</f>
        <v>6.89188674772828</v>
      </c>
      <c r="F99" t="s" s="26">
        <v>24</v>
      </c>
      <c r="G99" s="23" cm="1">
        <f t="array" ref="G99">VLOOKUP(F99,'Rating Lookup'!$A2:$B138,2,FALSE)</f>
        <v>4.31123264075225</v>
      </c>
      <c r="H99" t="s" s="26">
        <v>26</v>
      </c>
      <c r="I99" s="23" cm="1">
        <f t="array" ref="I99">VLOOKUP(H99,'Rating Lookup'!$A2:$B138,2,FALSE)</f>
        <v>4.01425721966897</v>
      </c>
      <c r="J99" t="s" s="26">
        <v>99</v>
      </c>
      <c r="K99" s="23" cm="1">
        <f t="array" ref="K99">VLOOKUP(J99,'Rating Lookup'!$A2:$B138,2,FALSE)</f>
        <v>-2.17781183627959</v>
      </c>
      <c r="L99" t="s" s="26">
        <v>83</v>
      </c>
      <c r="M99" s="23" cm="1">
        <f t="array" ref="M99">VLOOKUP(L99,'Rating Lookup'!$A2:$B138,2,FALSE)</f>
        <v>-1.04226754877399</v>
      </c>
      <c r="N99" t="s" s="26">
        <v>12</v>
      </c>
      <c r="O99" s="23" cm="1">
        <f t="array" ref="O99">VLOOKUP(N99,'Rating Lookup'!$A2:$B138,2,FALSE)</f>
        <v>5.59982769875114</v>
      </c>
      <c r="P99" s="23" cm="1">
        <f t="array" ref="P99">AVERAGE(C99,E99,G99,I99,K99,M99,O99)</f>
        <v>2.80349368317106</v>
      </c>
    </row>
    <row r="100" ht="13.55" customHeight="1">
      <c r="A100" t="s" s="26">
        <v>42</v>
      </c>
      <c r="B100" t="s" s="26">
        <v>15</v>
      </c>
      <c r="C100" s="23" cm="1">
        <f t="array" ref="C100">VLOOKUP(B100,'Rating Lookup'!$A2:$B138,2,FALSE)</f>
        <v>5.46568762547505</v>
      </c>
      <c r="D100" t="s" s="26">
        <v>66</v>
      </c>
      <c r="E100" s="23" cm="1">
        <f t="array" ref="E100">VLOOKUP(D100,'Rating Lookup'!$A2:$B138,2,FALSE)</f>
        <v>0.29521010233505</v>
      </c>
      <c r="F100" t="s" s="26">
        <v>82</v>
      </c>
      <c r="G100" s="23" cm="1">
        <f t="array" ref="G100">VLOOKUP(F100,'Rating Lookup'!$A2:$B138,2,FALSE)</f>
        <v>-1.01281078608949</v>
      </c>
      <c r="H100" t="s" s="26">
        <v>41</v>
      </c>
      <c r="I100" s="23" cm="1">
        <f t="array" ref="I100">VLOOKUP(H100,'Rating Lookup'!$A2:$B138,2,FALSE)</f>
        <v>2.77908909331727</v>
      </c>
      <c r="J100" t="s" s="26">
        <v>32</v>
      </c>
      <c r="K100" s="23" cm="1">
        <f t="array" ref="K100">VLOOKUP(J100,'Rating Lookup'!$A2:$B138,2,FALSE)</f>
        <v>3.57260180896642</v>
      </c>
      <c r="L100" t="s" s="26">
        <v>40</v>
      </c>
      <c r="M100" s="23" cm="1">
        <f t="array" ref="M100">VLOOKUP(L100,'Rating Lookup'!$A2:$B138,2,FALSE)</f>
        <v>2.81548972381729</v>
      </c>
      <c r="N100" t="s" s="26">
        <v>79</v>
      </c>
      <c r="O100" s="23" cm="1">
        <f t="array" ref="O100">VLOOKUP(N100,'Rating Lookup'!$A2:$B138,2,FALSE)</f>
        <v>-0.836360098479986</v>
      </c>
      <c r="P100" s="23" cm="1">
        <f t="array" ref="P100">AVERAGE(C100,E100,G100,I100,K100,M100,O100)</f>
        <v>1.86841535276309</v>
      </c>
    </row>
    <row r="101" ht="13.55" customHeight="1">
      <c r="A101" t="s" s="26">
        <v>119</v>
      </c>
      <c r="B101" t="s" s="26">
        <v>104</v>
      </c>
      <c r="C101" s="23" cm="1">
        <f t="array" ref="C101">VLOOKUP(B101,'Rating Lookup'!$A2:$B138,2,FALSE)</f>
        <v>-2.58914252844136</v>
      </c>
      <c r="D101" t="s" s="26">
        <v>32</v>
      </c>
      <c r="E101" s="23" cm="1">
        <f t="array" ref="E101">VLOOKUP(D101,'Rating Lookup'!$A2:$B138,2,FALSE)</f>
        <v>3.57260180896642</v>
      </c>
      <c r="F101" t="s" s="26">
        <v>27</v>
      </c>
      <c r="G101" s="23" cm="1">
        <f t="array" ref="G101">VLOOKUP(F101,'Rating Lookup'!$A2:$B138,2,FALSE)</f>
        <v>4.00435455050306</v>
      </c>
      <c r="H101" t="s" s="26">
        <v>140</v>
      </c>
      <c r="I101" s="23" cm="1">
        <f t="array" ref="I101">VLOOKUP(H101,'Rating Lookup'!$A2:$B138,2,FALSE)</f>
        <v>-9.31654300434057</v>
      </c>
      <c r="J101" t="s" s="26">
        <v>21</v>
      </c>
      <c r="K101" s="23" cm="1">
        <f t="array" ref="K101">VLOOKUP(J101,'Rating Lookup'!$A2:$B138,2,FALSE)</f>
        <v>4.55913673980902</v>
      </c>
      <c r="L101" t="s" s="26">
        <v>53</v>
      </c>
      <c r="M101" s="23" cm="1">
        <f t="array" ref="M101">VLOOKUP(L101,'Rating Lookup'!$A2:$B138,2,FALSE)</f>
        <v>1.80226153055653</v>
      </c>
      <c r="N101" t="s" s="26">
        <v>139</v>
      </c>
      <c r="O101" s="23" cm="1">
        <f t="array" ref="O101">VLOOKUP(N101,'Rating Lookup'!$A2:$B138,2,FALSE)</f>
        <v>-7.85541016002437</v>
      </c>
      <c r="P101" s="23" cm="1">
        <f t="array" ref="P101">AVERAGE(C101,E101,G101,I101,K101,M101,O101)</f>
        <v>-0.831820151853039</v>
      </c>
    </row>
    <row r="102" ht="13.55" customHeight="1">
      <c r="A102" t="s" s="26">
        <v>73</v>
      </c>
      <c r="B102" t="s" s="26">
        <v>68</v>
      </c>
      <c r="C102" s="23" cm="1">
        <f t="array" ref="C102">VLOOKUP(B102,'Rating Lookup'!$A2:$B138,2,FALSE)</f>
        <v>0.248638585007207</v>
      </c>
      <c r="D102" t="s" s="26">
        <v>44</v>
      </c>
      <c r="E102" s="23" cm="1">
        <f t="array" ref="E102">VLOOKUP(D102,'Rating Lookup'!$A2:$B138,2,FALSE)</f>
        <v>2.62459139012443</v>
      </c>
      <c r="F102" t="s" s="26">
        <v>133</v>
      </c>
      <c r="G102" s="23" cm="1">
        <f t="array" ref="G102">VLOOKUP(F102,'Rating Lookup'!$A2:$B138,2,FALSE)</f>
        <v>-5.55857628514641</v>
      </c>
      <c r="H102" t="s" s="26">
        <v>46</v>
      </c>
      <c r="I102" s="23" cm="1">
        <f t="array" ref="I102">VLOOKUP(H102,'Rating Lookup'!$A2:$B138,2,FALSE)</f>
        <v>2.24485292723666</v>
      </c>
      <c r="J102" t="s" s="26">
        <v>37</v>
      </c>
      <c r="K102" s="23" cm="1">
        <f t="array" ref="K102">VLOOKUP(J102,'Rating Lookup'!$A2:$B138,2,FALSE)</f>
        <v>3.24335785314622</v>
      </c>
      <c r="L102" t="s" s="26">
        <v>140</v>
      </c>
      <c r="M102" s="23" cm="1">
        <f t="array" ref="M102">VLOOKUP(L102,'Rating Lookup'!$A2:$B138,2,FALSE)</f>
        <v>-9.31654300434057</v>
      </c>
      <c r="N102" t="s" s="26">
        <v>80</v>
      </c>
      <c r="O102" s="23" cm="1">
        <f t="array" ref="O102">VLOOKUP(N102,'Rating Lookup'!$A2:$B138,2,FALSE)</f>
        <v>-0.84768132374283</v>
      </c>
      <c r="P102" s="23" cm="1">
        <f t="array" ref="P102">AVERAGE(C102,E102,G102,I102,K102,M102,O102)</f>
        <v>-1.05162283681647</v>
      </c>
    </row>
    <row r="103" ht="13.55" customHeight="1">
      <c r="A103" t="s" s="26">
        <v>125</v>
      </c>
      <c r="B103" t="s" s="26">
        <v>87</v>
      </c>
      <c r="C103" s="23" cm="1">
        <f t="array" ref="C103">VLOOKUP(B103,'Rating Lookup'!$A2:$B138,2,FALSE)</f>
        <v>-1.20871388306861</v>
      </c>
      <c r="D103" t="s" s="26">
        <v>46</v>
      </c>
      <c r="E103" s="23" cm="1">
        <f t="array" ref="E103">VLOOKUP(D103,'Rating Lookup'!$A2:$B138,2,FALSE)</f>
        <v>2.24485292723666</v>
      </c>
      <c r="F103" t="s" s="26">
        <v>43</v>
      </c>
      <c r="G103" s="23" cm="1">
        <f t="array" ref="G103">VLOOKUP(F103,'Rating Lookup'!$A2:$B138,2,FALSE)</f>
        <v>2.62817334380147</v>
      </c>
      <c r="H103" t="s" s="26">
        <v>69</v>
      </c>
      <c r="I103" s="23" cm="1">
        <f t="array" ref="I103">VLOOKUP(H103,'Rating Lookup'!$A2:$B138,2,FALSE)</f>
        <v>0.20014218519344</v>
      </c>
      <c r="J103" t="s" s="26">
        <v>106</v>
      </c>
      <c r="K103" s="23" cm="1">
        <f t="array" ref="K103">VLOOKUP(J103,'Rating Lookup'!$A2:$B138,2,FALSE)</f>
        <v>-2.74762863241334</v>
      </c>
      <c r="L103" t="s" s="26">
        <v>45</v>
      </c>
      <c r="M103" s="23" cm="1">
        <f t="array" ref="M103">VLOOKUP(L103,'Rating Lookup'!$A2:$B138,2,FALSE)</f>
        <v>2.3773723661694</v>
      </c>
      <c r="N103" t="s" s="26">
        <v>50</v>
      </c>
      <c r="O103" s="23" cm="1">
        <f t="array" ref="O103">VLOOKUP(N103,'Rating Lookup'!$A2:$B138,2,FALSE)</f>
        <v>1.94954402902408</v>
      </c>
      <c r="P103" s="23" cm="1">
        <f t="array" ref="P103">AVERAGE(C103,E103,G103,I103,K103,M103,O103)</f>
        <v>0.7776774765633</v>
      </c>
    </row>
    <row r="104" ht="13.55" customHeight="1">
      <c r="A104" t="s" s="26">
        <v>33</v>
      </c>
      <c r="B104" t="s" s="26">
        <v>86</v>
      </c>
      <c r="C104" s="23" cm="1">
        <f t="array" ref="C104">VLOOKUP(B104,'Rating Lookup'!$A2:$B138,2,FALSE)</f>
        <v>-1.16960524424737</v>
      </c>
      <c r="D104" t="s" s="26">
        <v>97</v>
      </c>
      <c r="E104" s="23" cm="1">
        <f t="array" ref="E104">VLOOKUP(D104,'Rating Lookup'!$A2:$B138,2,FALSE)</f>
        <v>-2.05013712658942</v>
      </c>
      <c r="F104" t="s" s="26">
        <v>111</v>
      </c>
      <c r="G104" s="23" cm="1">
        <f t="array" ref="G104">VLOOKUP(F104,'Rating Lookup'!$A2:$B138,2,FALSE)</f>
        <v>-3.28135612625608</v>
      </c>
      <c r="H104" t="s" s="26">
        <v>133</v>
      </c>
      <c r="I104" s="23" cm="1">
        <f t="array" ref="I104">VLOOKUP(H104,'Rating Lookup'!$A2:$B138,2,FALSE)</f>
        <v>-5.55857628514641</v>
      </c>
      <c r="J104" t="s" s="26">
        <v>35</v>
      </c>
      <c r="K104" s="23" cm="1">
        <f t="array" ref="K104">VLOOKUP(J104,'Rating Lookup'!$A2:$B138,2,FALSE)</f>
        <v>3.31512010809599</v>
      </c>
      <c r="L104" t="s" s="26">
        <v>75</v>
      </c>
      <c r="M104" s="23" cm="1">
        <f t="array" ref="M104">VLOOKUP(L104,'Rating Lookup'!$A2:$B138,2,FALSE)</f>
        <v>-0.47110027727993</v>
      </c>
      <c r="N104" t="s" s="26">
        <v>121</v>
      </c>
      <c r="O104" s="23" cm="1">
        <f t="array" ref="O104">VLOOKUP(N104,'Rating Lookup'!$A2:$B138,2,FALSE)</f>
        <v>-4.08640151456241</v>
      </c>
      <c r="P104" s="23" cm="1">
        <f t="array" ref="P104">AVERAGE(C104,E104,G104,I104,K104,M104,O104)</f>
        <v>-1.90029378085509</v>
      </c>
    </row>
    <row r="105" ht="13.55" customHeight="1">
      <c r="A105" t="s" s="26">
        <v>115</v>
      </c>
      <c r="B105" t="s" s="26">
        <v>36</v>
      </c>
      <c r="C105" s="23" cm="1">
        <f t="array" ref="C105">VLOOKUP(B105,'Rating Lookup'!$A2:$B138,2,FALSE)</f>
        <v>3.26105716610947</v>
      </c>
      <c r="D105" t="s" s="26">
        <v>29</v>
      </c>
      <c r="E105" s="23" cm="1">
        <f t="array" ref="E105">VLOOKUP(D105,'Rating Lookup'!$A2:$B138,2,FALSE)</f>
        <v>3.90358287595508</v>
      </c>
      <c r="F105" t="s" s="26">
        <v>53</v>
      </c>
      <c r="G105" s="23" cm="1">
        <f t="array" ref="G105">VLOOKUP(F105,'Rating Lookup'!$A2:$B138,2,FALSE)</f>
        <v>1.80226153055653</v>
      </c>
      <c r="H105" t="s" s="26">
        <v>58</v>
      </c>
      <c r="I105" s="23" cm="1">
        <f t="array" ref="I105">VLOOKUP(H105,'Rating Lookup'!$A2:$B138,2,FALSE)</f>
        <v>1.46004862122864</v>
      </c>
      <c r="J105" t="s" s="26">
        <v>127</v>
      </c>
      <c r="K105" s="23" cm="1">
        <f t="array" ref="K105">VLOOKUP(J105,'Rating Lookup'!$A2:$B138,2,FALSE)</f>
        <v>-4.46999207445372</v>
      </c>
      <c r="L105" t="s" s="26">
        <v>58</v>
      </c>
      <c r="M105" s="23" cm="1">
        <f t="array" ref="M105">VLOOKUP(L105,'Rating Lookup'!$A2:$B138,2,FALSE)</f>
        <v>1.46004862122864</v>
      </c>
      <c r="N105" t="s" s="26">
        <v>19</v>
      </c>
      <c r="O105" s="23" cm="1">
        <f t="array" ref="O105">VLOOKUP(N105,'Rating Lookup'!$A2:$B138,2,FALSE)</f>
        <v>4.5934517710258</v>
      </c>
      <c r="P105" s="23" cm="1">
        <f t="array" ref="P105">AVERAGE(C105,E105,G105,I105,K105,M105,O105)</f>
        <v>1.71577978737863</v>
      </c>
    </row>
    <row r="106" ht="13.55" customHeight="1">
      <c r="A106" t="s" s="26">
        <v>29</v>
      </c>
      <c r="B106" t="s" s="26">
        <v>118</v>
      </c>
      <c r="C106" s="23" cm="1">
        <f t="array" ref="C106">VLOOKUP(B106,'Rating Lookup'!$A2:$B138,2,FALSE)</f>
        <v>-3.83643338464872</v>
      </c>
      <c r="D106" t="s" s="26">
        <v>115</v>
      </c>
      <c r="E106" s="23" cm="1">
        <f t="array" ref="E106">VLOOKUP(D106,'Rating Lookup'!$A2:$B138,2,FALSE)</f>
        <v>-3.65935390300287</v>
      </c>
      <c r="F106" t="s" s="26">
        <v>109</v>
      </c>
      <c r="G106" s="23" cm="1">
        <f t="array" ref="G106">VLOOKUP(F106,'Rating Lookup'!$A2:$B138,2,FALSE)</f>
        <v>-3.17082421974611</v>
      </c>
      <c r="H106" t="s" s="26">
        <v>82</v>
      </c>
      <c r="I106" s="23" cm="1">
        <f t="array" ref="I106">VLOOKUP(H106,'Rating Lookup'!$A2:$B138,2,FALSE)</f>
        <v>-1.01281078608949</v>
      </c>
      <c r="J106" t="s" s="26">
        <v>44</v>
      </c>
      <c r="K106" s="23" cm="1">
        <f t="array" ref="K106">VLOOKUP(J106,'Rating Lookup'!$A2:$B138,2,FALSE)</f>
        <v>2.62459139012443</v>
      </c>
      <c r="L106" t="s" s="26">
        <v>46</v>
      </c>
      <c r="M106" s="23" cm="1">
        <f t="array" ref="M106">VLOOKUP(L106,'Rating Lookup'!$A2:$B138,2,FALSE)</f>
        <v>2.24485292723666</v>
      </c>
      <c r="N106" t="s" s="26">
        <v>114</v>
      </c>
      <c r="O106" s="23" cm="1">
        <f t="array" ref="O106">VLOOKUP(N106,'Rating Lookup'!$A2:$B138,2,FALSE)</f>
        <v>-3.48946206869539</v>
      </c>
      <c r="P106" s="23" cm="1">
        <f t="array" ref="P106">AVERAGE(C106,E106,G106,I106,K106,M106,O106)</f>
        <v>-1.47134857783164</v>
      </c>
    </row>
    <row r="107" ht="13.55" customHeight="1">
      <c r="A107" t="s" s="26">
        <v>10</v>
      </c>
      <c r="B107" t="s" s="26">
        <v>47</v>
      </c>
      <c r="C107" s="23" cm="1">
        <f t="array" ref="C107">VLOOKUP(B107,'Rating Lookup'!$A2:$B138,2,FALSE)</f>
        <v>2.18077992877894</v>
      </c>
      <c r="D107" t="s" s="26">
        <v>57</v>
      </c>
      <c r="E107" s="23" cm="1">
        <f t="array" ref="E107">VLOOKUP(D107,'Rating Lookup'!$A2:$B138,2,FALSE)</f>
        <v>1.60467129115595</v>
      </c>
      <c r="F107" t="s" s="26">
        <v>76</v>
      </c>
      <c r="G107" s="23" cm="1">
        <f t="array" ref="G107">VLOOKUP(F107,'Rating Lookup'!$A2:$B138,2,FALSE)</f>
        <v>-0.53831981595041</v>
      </c>
      <c r="H107" t="s" s="26">
        <v>23</v>
      </c>
      <c r="I107" s="23" cm="1">
        <f t="array" ref="I107">VLOOKUP(H107,'Rating Lookup'!$A2:$B138,2,FALSE)</f>
        <v>4.40189201585545</v>
      </c>
      <c r="J107" t="s" s="26">
        <v>105</v>
      </c>
      <c r="K107" s="23" cm="1">
        <f t="array" ref="K107">VLOOKUP(J107,'Rating Lookup'!$A2:$B138,2,FALSE)</f>
        <v>-2.70831005953648</v>
      </c>
      <c r="L107" t="s" s="26">
        <v>69</v>
      </c>
      <c r="M107" s="23" cm="1">
        <f t="array" ref="M107">VLOOKUP(L107,'Rating Lookup'!$A2:$B138,2,FALSE)</f>
        <v>0.20014218519344</v>
      </c>
      <c r="N107" t="s" s="26">
        <v>23</v>
      </c>
      <c r="O107" s="23" cm="1">
        <f t="array" ref="O107">VLOOKUP(N107,'Rating Lookup'!$A2:$B138,2,FALSE)</f>
        <v>4.40189201585545</v>
      </c>
      <c r="P107" s="23" cm="1">
        <f t="array" ref="P107">AVERAGE(C107,E107,G107,I107,K107,M107,O107)</f>
        <v>1.36324965162176</v>
      </c>
    </row>
    <row r="108" ht="13.55" customHeight="1">
      <c r="A108" t="s" s="26">
        <v>25</v>
      </c>
      <c r="B108" t="s" s="26">
        <v>75</v>
      </c>
      <c r="C108" s="23" cm="1">
        <f t="array" ref="C108">VLOOKUP(B108,'Rating Lookup'!$A2:$B138,2,FALSE)</f>
        <v>-0.47110027727993</v>
      </c>
      <c r="D108" t="s" s="26">
        <v>129</v>
      </c>
      <c r="E108" s="23" cm="1">
        <f t="array" ref="E108">VLOOKUP(D108,'Rating Lookup'!$A2:$B138,2,FALSE)</f>
        <v>-4.82358776660641</v>
      </c>
      <c r="F108" t="s" s="26">
        <v>95</v>
      </c>
      <c r="G108" s="23" cm="1">
        <f t="array" ref="G108">VLOOKUP(F108,'Rating Lookup'!$A2:$B138,2,FALSE)</f>
        <v>-1.92319740027882</v>
      </c>
      <c r="H108" t="s" s="26">
        <v>91</v>
      </c>
      <c r="I108" s="23" cm="1">
        <f t="array" ref="I108">VLOOKUP(H108,'Rating Lookup'!$A2:$B138,2,FALSE)</f>
        <v>-1.86915335849158</v>
      </c>
      <c r="J108" t="s" s="26">
        <v>98</v>
      </c>
      <c r="K108" s="23" cm="1">
        <f t="array" ref="K108">VLOOKUP(J108,'Rating Lookup'!$A2:$B138,2,FALSE)</f>
        <v>-2.14818495614045</v>
      </c>
      <c r="L108" t="s" s="26">
        <v>136</v>
      </c>
      <c r="M108" s="23" cm="1">
        <f t="array" ref="M108">VLOOKUP(L108,'Rating Lookup'!$A2:$B138,2,FALSE)</f>
        <v>-5.94609839358734</v>
      </c>
      <c r="N108" t="s" s="26">
        <v>62</v>
      </c>
      <c r="O108" s="23" cm="1">
        <f t="array" ref="O108">VLOOKUP(N108,'Rating Lookup'!$A2:$B138,2,FALSE)</f>
        <v>0.66379483818593</v>
      </c>
      <c r="P108" s="23" cm="1">
        <f t="array" ref="P108">AVERAGE(C108,E108,G108,I108,K108,M108,O108)</f>
        <v>-2.35964675917123</v>
      </c>
    </row>
    <row r="109" ht="13.55" customHeight="1">
      <c r="A109" t="s" s="26">
        <v>78</v>
      </c>
      <c r="B109" t="s" s="26">
        <v>90</v>
      </c>
      <c r="C109" s="23" cm="1">
        <f t="array" ref="C109">VLOOKUP(B109,'Rating Lookup'!$A2:$B138,2,FALSE)</f>
        <v>-1.62598908807918</v>
      </c>
      <c r="D109" t="s" s="26">
        <v>86</v>
      </c>
      <c r="E109" s="23" cm="1">
        <f t="array" ref="E109">VLOOKUP(D109,'Rating Lookup'!$A2:$B138,2,FALSE)</f>
        <v>-1.16960524424737</v>
      </c>
      <c r="F109" t="s" s="26">
        <v>22</v>
      </c>
      <c r="G109" s="23" cm="1">
        <f t="array" ref="G109">VLOOKUP(F109,'Rating Lookup'!$A2:$B138,2,FALSE)</f>
        <v>4.55887600155886</v>
      </c>
      <c r="H109" t="s" s="26">
        <v>14</v>
      </c>
      <c r="I109" s="23" cm="1">
        <f t="array" ref="I109">VLOOKUP(H109,'Rating Lookup'!$A2:$B138,2,FALSE)</f>
        <v>5.51360480483848</v>
      </c>
      <c r="J109" t="s" s="26">
        <v>77</v>
      </c>
      <c r="K109" s="23" cm="1">
        <f t="array" ref="K109">VLOOKUP(J109,'Rating Lookup'!$A2:$B138,2,FALSE)</f>
        <v>-0.54225690934153</v>
      </c>
      <c r="L109" t="s" s="26">
        <v>21</v>
      </c>
      <c r="M109" s="23" cm="1">
        <f t="array" ref="M109">VLOOKUP(L109,'Rating Lookup'!$A2:$B138,2,FALSE)</f>
        <v>4.55913673980902</v>
      </c>
      <c r="N109" t="s" s="26">
        <v>54</v>
      </c>
      <c r="O109" s="23" cm="1">
        <f t="array" ref="O109">VLOOKUP(N109,'Rating Lookup'!$A2:$B138,2,FALSE)</f>
        <v>1.67670283281755</v>
      </c>
      <c r="P109" s="23" cm="1">
        <f t="array" ref="P109">AVERAGE(C109,E109,G109,I109,K109,M109,O109)</f>
        <v>1.8529241624794</v>
      </c>
    </row>
    <row r="110" ht="13.55" customHeight="1">
      <c r="A110" t="s" s="26">
        <v>12</v>
      </c>
      <c r="B110" t="s" s="26">
        <v>109</v>
      </c>
      <c r="C110" s="23" cm="1">
        <f t="array" ref="C110">VLOOKUP(B110,'Rating Lookup'!$A2:$B138,2,FALSE)</f>
        <v>-3.17082421974611</v>
      </c>
      <c r="D110" t="s" s="26">
        <v>105</v>
      </c>
      <c r="E110" s="23" cm="1">
        <f t="array" ref="E110">VLOOKUP(D110,'Rating Lookup'!$A2:$B138,2,FALSE)</f>
        <v>-2.70831005953648</v>
      </c>
      <c r="F110" t="s" s="26">
        <v>116</v>
      </c>
      <c r="G110" s="23" cm="1">
        <f t="array" ref="G110">VLOOKUP(F110,'Rating Lookup'!$A2:$B138,2,FALSE)</f>
        <v>-3.76562451732892</v>
      </c>
      <c r="H110" t="s" s="26">
        <v>60</v>
      </c>
      <c r="I110" s="23" cm="1">
        <f t="array" ref="I110">VLOOKUP(H110,'Rating Lookup'!$A2:$B138,2,FALSE)</f>
        <v>1.18530535993094</v>
      </c>
      <c r="J110" t="s" s="26">
        <v>138</v>
      </c>
      <c r="K110" s="23" cm="1">
        <f t="array" ref="K110">VLOOKUP(J110,'Rating Lookup'!$A2:$B138,2,FALSE)</f>
        <v>-7.42780318353212</v>
      </c>
      <c r="L110" t="s" s="26">
        <v>9</v>
      </c>
      <c r="M110" s="23" cm="1">
        <f t="array" ref="M110">VLOOKUP(L110,'Rating Lookup'!$A2:$B138,2,FALSE)</f>
        <v>6.03187766748243</v>
      </c>
      <c r="N110" t="s" s="26">
        <v>103</v>
      </c>
      <c r="O110" s="23" cm="1">
        <f t="array" ref="O110">VLOOKUP(N110,'Rating Lookup'!$A2:$B138,2,FALSE)</f>
        <v>-2.57170378386919</v>
      </c>
      <c r="P110" s="23" cm="1">
        <f t="array" ref="P110">AVERAGE(C110,E110,G110,I110,K110,M110,O110)</f>
        <v>-1.77529753379992</v>
      </c>
    </row>
    <row r="111" ht="13.55" customHeight="1">
      <c r="A111" t="s" s="26">
        <v>22</v>
      </c>
      <c r="B111" t="s" s="26">
        <v>98</v>
      </c>
      <c r="C111" s="23" cm="1">
        <f t="array" ref="C111">VLOOKUP(B111,'Rating Lookup'!$A2:$B138,2,FALSE)</f>
        <v>-2.14818495614045</v>
      </c>
      <c r="D111" t="s" s="26">
        <v>87</v>
      </c>
      <c r="E111" s="23" cm="1">
        <f t="array" ref="E111">VLOOKUP(D111,'Rating Lookup'!$A2:$B138,2,FALSE)</f>
        <v>-1.20871388306861</v>
      </c>
      <c r="F111" t="s" s="26">
        <v>78</v>
      </c>
      <c r="G111" s="23" cm="1">
        <f t="array" ref="G111">VLOOKUP(F111,'Rating Lookup'!$A2:$B138,2,FALSE)</f>
        <v>-0.7722108176382</v>
      </c>
      <c r="H111" t="s" s="26">
        <v>62</v>
      </c>
      <c r="I111" s="23" cm="1">
        <f t="array" ref="I111">VLOOKUP(H111,'Rating Lookup'!$A2:$B138,2,FALSE)</f>
        <v>0.66379483818593</v>
      </c>
      <c r="J111" t="s" s="26">
        <v>52</v>
      </c>
      <c r="K111" s="23" cm="1">
        <f t="array" ref="K111">VLOOKUP(J111,'Rating Lookup'!$A2:$B138,2,FALSE)</f>
        <v>1.88863509001956</v>
      </c>
      <c r="L111" t="s" s="26">
        <v>120</v>
      </c>
      <c r="M111" s="23" cm="1">
        <f t="array" ref="M111">VLOOKUP(L111,'Rating Lookup'!$A2:$B138,2,FALSE)</f>
        <v>-4.02321925506876</v>
      </c>
      <c r="N111" t="s" s="26">
        <v>72</v>
      </c>
      <c r="O111" s="23" cm="1">
        <f t="array" ref="O111">VLOOKUP(N111,'Rating Lookup'!$A2:$B138,2,FALSE)</f>
        <v>-0.11442308333701</v>
      </c>
      <c r="P111" s="23" cm="1">
        <f t="array" ref="P111">AVERAGE(C111,E111,G111,I111,K111,M111,O111)</f>
        <v>-0.816331723863934</v>
      </c>
    </row>
    <row r="112" ht="13.55" customHeight="1">
      <c r="A112" t="s" s="26">
        <v>107</v>
      </c>
      <c r="B112" t="s" s="26">
        <v>94</v>
      </c>
      <c r="C112" s="23" cm="1">
        <f t="array" ref="C112">VLOOKUP(B112,'Rating Lookup'!$A2:$B138,2,FALSE)</f>
        <v>-1.91272420043442</v>
      </c>
      <c r="D112" t="s" s="26">
        <v>21</v>
      </c>
      <c r="E112" s="23" cm="1">
        <f t="array" ref="E112">VLOOKUP(D112,'Rating Lookup'!$A2:$B138,2,FALSE)</f>
        <v>4.55913673980902</v>
      </c>
      <c r="F112" t="s" s="26">
        <v>118</v>
      </c>
      <c r="G112" s="23" cm="1">
        <f t="array" ref="G112">VLOOKUP(F112,'Rating Lookup'!$A2:$B138,2,FALSE)</f>
        <v>-3.83643338464872</v>
      </c>
      <c r="H112" t="s" s="26">
        <v>138</v>
      </c>
      <c r="I112" s="23" cm="1">
        <f t="array" ref="I112">VLOOKUP(H112,'Rating Lookup'!$A2:$B138,2,FALSE)</f>
        <v>-7.42780318353212</v>
      </c>
      <c r="J112" t="s" s="26">
        <v>18</v>
      </c>
      <c r="K112" s="23" cm="1">
        <f t="array" ref="K112">VLOOKUP(J112,'Rating Lookup'!$A2:$B138,2,FALSE)</f>
        <v>5.0922019441117</v>
      </c>
      <c r="L112" t="s" s="26">
        <v>18</v>
      </c>
      <c r="M112" s="23" cm="1">
        <f t="array" ref="M112">VLOOKUP(L112,'Rating Lookup'!$A2:$B138,2,FALSE)</f>
        <v>5.0922019441117</v>
      </c>
      <c r="N112" t="s" s="26">
        <v>61</v>
      </c>
      <c r="O112" s="23" cm="1">
        <f t="array" ref="O112">VLOOKUP(N112,'Rating Lookup'!$A2:$B138,2,FALSE)</f>
        <v>0.7599191252438799</v>
      </c>
      <c r="P112" s="23" cm="1">
        <f t="array" ref="P112">AVERAGE(C112,E112,G112,I112,K112,M112,O112)</f>
        <v>0.33235699780872</v>
      </c>
    </row>
    <row r="113" ht="13.55" customHeight="1">
      <c r="A113" t="s" s="26">
        <v>21</v>
      </c>
      <c r="B113" t="s" s="26">
        <v>69</v>
      </c>
      <c r="C113" s="23" cm="1">
        <f t="array" ref="C113">VLOOKUP(B113,'Rating Lookup'!$A2:$B138,2,FALSE)</f>
        <v>0.20014218519344</v>
      </c>
      <c r="D113" t="s" s="26">
        <v>107</v>
      </c>
      <c r="E113" s="23" cm="1">
        <f t="array" ref="E113">VLOOKUP(D113,'Rating Lookup'!$A2:$B138,2,FALSE)</f>
        <v>-2.79254134979256</v>
      </c>
      <c r="F113" t="s" s="26">
        <v>68</v>
      </c>
      <c r="G113" s="23" cm="1">
        <f t="array" ref="G113">VLOOKUP(F113,'Rating Lookup'!$A2:$B138,2,FALSE)</f>
        <v>0.248638585007207</v>
      </c>
      <c r="H113" t="s" s="26">
        <v>131</v>
      </c>
      <c r="I113" s="23" cm="1">
        <f t="array" ref="I113">VLOOKUP(H113,'Rating Lookup'!$A2:$B138,2,FALSE)</f>
        <v>-5.2111720771302</v>
      </c>
      <c r="J113" t="s" s="26">
        <v>119</v>
      </c>
      <c r="K113" s="23" cm="1">
        <f t="array" ref="K113">VLOOKUP(J113,'Rating Lookup'!$A2:$B138,2,FALSE)</f>
        <v>-3.95691937561155</v>
      </c>
      <c r="L113" t="s" s="26">
        <v>78</v>
      </c>
      <c r="M113" s="23" cm="1">
        <f t="array" ref="M113">VLOOKUP(L113,'Rating Lookup'!$A2:$B138,2,FALSE)</f>
        <v>-0.7722108176382</v>
      </c>
      <c r="N113" t="s" s="26">
        <v>99</v>
      </c>
      <c r="O113" s="23" cm="1">
        <f t="array" ref="O113">VLOOKUP(N113,'Rating Lookup'!$A2:$B138,2,FALSE)</f>
        <v>-2.17781183627959</v>
      </c>
      <c r="P113" s="23" cm="1">
        <f t="array" ref="P113">AVERAGE(C113,E113,G113,I113,K113,M113,O113)</f>
        <v>-2.06598209803592</v>
      </c>
    </row>
    <row r="114" ht="13.55" customHeight="1">
      <c r="A114" t="s" s="26">
        <v>98</v>
      </c>
      <c r="B114" t="s" s="26">
        <v>22</v>
      </c>
      <c r="C114" s="23" cm="1">
        <f t="array" ref="C114">VLOOKUP(B114,'Rating Lookup'!$A2:$B138,2,FALSE)</f>
        <v>4.55887600155886</v>
      </c>
      <c r="D114" t="s" s="26">
        <v>139</v>
      </c>
      <c r="E114" s="23" cm="1">
        <f t="array" ref="E114">VLOOKUP(D114,'Rating Lookup'!$A2:$B138,2,FALSE)</f>
        <v>-7.85541016002437</v>
      </c>
      <c r="F114" t="s" s="26">
        <v>84</v>
      </c>
      <c r="G114" s="23" cm="1">
        <f t="array" ref="G114">VLOOKUP(F114,'Rating Lookup'!$A2:$B138,2,FALSE)</f>
        <v>-1.04555922522911</v>
      </c>
      <c r="H114" t="s" s="26">
        <v>39</v>
      </c>
      <c r="I114" s="23" cm="1">
        <f t="array" ref="I114">VLOOKUP(H114,'Rating Lookup'!$A2:$B138,2,FALSE)</f>
        <v>3.10202729206284</v>
      </c>
      <c r="J114" t="s" s="26">
        <v>25</v>
      </c>
      <c r="K114" s="23" cm="1">
        <f t="array" ref="K114">VLOOKUP(J114,'Rating Lookup'!$A2:$B138,2,FALSE)</f>
        <v>4.26570683475592</v>
      </c>
      <c r="L114" t="s" s="26">
        <v>66</v>
      </c>
      <c r="M114" s="23" cm="1">
        <f t="array" ref="M114">VLOOKUP(L114,'Rating Lookup'!$A2:$B138,2,FALSE)</f>
        <v>0.29521010233505</v>
      </c>
      <c r="N114" t="s" s="26">
        <v>71</v>
      </c>
      <c r="O114" s="23" cm="1">
        <f t="array" ref="O114">VLOOKUP(N114,'Rating Lookup'!$A2:$B138,2,FALSE)</f>
        <v>0.018556443215437</v>
      </c>
      <c r="P114" s="23" cm="1">
        <f t="array" ref="P114">AVERAGE(C114,E114,G114,I114,K114,M114,O114)</f>
        <v>0.477058184096375</v>
      </c>
    </row>
    <row r="115" ht="13.55" customHeight="1">
      <c r="A115" t="s" s="26">
        <v>131</v>
      </c>
      <c r="B115" t="s" s="26">
        <v>67</v>
      </c>
      <c r="C115" s="23" cm="1">
        <f t="array" ref="C115">VLOOKUP(B115,'Rating Lookup'!$A2:$B138,2,FALSE)</f>
        <v>0.275678160475329</v>
      </c>
      <c r="D115" t="s" s="26">
        <v>127</v>
      </c>
      <c r="E115" s="23" cm="1">
        <f t="array" ref="E115">VLOOKUP(D115,'Rating Lookup'!$A2:$B138,2,FALSE)</f>
        <v>-4.46999207445372</v>
      </c>
      <c r="F115" t="s" s="26">
        <v>15</v>
      </c>
      <c r="G115" s="23" cm="1">
        <f t="array" ref="G115">VLOOKUP(F115,'Rating Lookup'!$A2:$B138,2,FALSE)</f>
        <v>5.46568762547505</v>
      </c>
      <c r="H115" t="s" s="26">
        <v>21</v>
      </c>
      <c r="I115" s="23" cm="1">
        <f t="array" ref="I115">VLOOKUP(H115,'Rating Lookup'!$A2:$B138,2,FALSE)</f>
        <v>4.55913673980902</v>
      </c>
      <c r="J115" t="s" s="26">
        <v>34</v>
      </c>
      <c r="K115" s="23" cm="1">
        <f t="array" ref="K115">VLOOKUP(J115,'Rating Lookup'!$A2:$B138,2,FALSE)</f>
        <v>3.46082209671099</v>
      </c>
      <c r="L115" t="s" s="26">
        <v>55</v>
      </c>
      <c r="M115" s="23" cm="1">
        <f t="array" ref="M115">VLOOKUP(L115,'Rating Lookup'!$A2:$B138,2,FALSE)</f>
        <v>1.61968253185873</v>
      </c>
      <c r="N115" t="s" s="26">
        <v>82</v>
      </c>
      <c r="O115" s="23" cm="1">
        <f t="array" ref="O115">VLOOKUP(N115,'Rating Lookup'!$A2:$B138,2,FALSE)</f>
        <v>-1.01281078608949</v>
      </c>
      <c r="P115" s="23" cm="1">
        <f t="array" ref="P115">AVERAGE(C115,E115,G115,I115,K115,M115,O115)</f>
        <v>1.41402918482656</v>
      </c>
    </row>
    <row r="116" ht="13.55" customHeight="1">
      <c r="A116" t="s" s="26">
        <v>100</v>
      </c>
      <c r="B116" t="s" s="26">
        <v>9</v>
      </c>
      <c r="C116" s="23" cm="1">
        <f t="array" ref="C116">VLOOKUP(B116,'Rating Lookup'!$A2:$B138,2,FALSE)</f>
        <v>6.03187766748243</v>
      </c>
      <c r="D116" t="s" s="26">
        <v>28</v>
      </c>
      <c r="E116" s="23" cm="1">
        <f t="array" ref="E116">VLOOKUP(D116,'Rating Lookup'!$A2:$B138,2,FALSE)</f>
        <v>3.94267847649009</v>
      </c>
      <c r="F116" t="s" s="26">
        <v>64</v>
      </c>
      <c r="G116" s="23" cm="1">
        <f t="array" ref="G116">VLOOKUP(F116,'Rating Lookup'!$A2:$B138,2,FALSE)</f>
        <v>0.5861765857014</v>
      </c>
      <c r="H116" t="s" s="26">
        <v>135</v>
      </c>
      <c r="I116" s="23" cm="1">
        <f t="array" ref="I116">VLOOKUP(H116,'Rating Lookup'!$A2:$B138,2,FALSE)</f>
        <v>-5.91317296171246</v>
      </c>
      <c r="J116" t="s" s="26">
        <v>50</v>
      </c>
      <c r="K116" s="23" cm="1">
        <f t="array" ref="K116">VLOOKUP(J116,'Rating Lookup'!$A2:$B138,2,FALSE)</f>
        <v>1.94954402902408</v>
      </c>
      <c r="L116" t="s" s="26">
        <v>96</v>
      </c>
      <c r="M116" s="23" cm="1">
        <f t="array" ref="M116">VLOOKUP(L116,'Rating Lookup'!$A2:$B138,2,FALSE)</f>
        <v>-1.92985341790185</v>
      </c>
      <c r="N116" t="s" s="26">
        <v>94</v>
      </c>
      <c r="O116" s="23" cm="1">
        <f t="array" ref="O116">VLOOKUP(N116,'Rating Lookup'!$A2:$B138,2,FALSE)</f>
        <v>-1.91272420043442</v>
      </c>
      <c r="P116" s="23" cm="1">
        <f t="array" ref="P116">AVERAGE(C116,E116,G116,I116,K116,M116,O116)</f>
        <v>0.393503739807039</v>
      </c>
    </row>
    <row r="117" ht="13.55" customHeight="1">
      <c r="A117" t="s" s="26">
        <v>72</v>
      </c>
      <c r="B117" t="s" s="26">
        <v>99</v>
      </c>
      <c r="C117" s="23" cm="1">
        <f t="array" ref="C117">VLOOKUP(B117,'Rating Lookup'!$A2:$B138,2,FALSE)</f>
        <v>-2.17781183627959</v>
      </c>
      <c r="D117" t="s" s="26">
        <v>82</v>
      </c>
      <c r="E117" s="23" cm="1">
        <f t="array" ref="E117">VLOOKUP(D117,'Rating Lookup'!$A2:$B138,2,FALSE)</f>
        <v>-1.01281078608949</v>
      </c>
      <c r="F117" t="s" s="26">
        <v>110</v>
      </c>
      <c r="G117" s="23" cm="1">
        <f t="array" ref="G117">VLOOKUP(F117,'Rating Lookup'!$A2:$B138,2,FALSE)</f>
        <v>-3.24214829876599</v>
      </c>
      <c r="H117" t="s" s="26">
        <v>90</v>
      </c>
      <c r="I117" s="23" cm="1">
        <f t="array" ref="I117">VLOOKUP(H117,'Rating Lookup'!$A2:$B138,2,FALSE)</f>
        <v>-1.62598908807918</v>
      </c>
      <c r="J117" t="s" s="26">
        <v>111</v>
      </c>
      <c r="K117" s="23" cm="1">
        <f t="array" ref="K117">VLOOKUP(J117,'Rating Lookup'!$A2:$B138,2,FALSE)</f>
        <v>-3.28135612625608</v>
      </c>
      <c r="L117" t="s" s="26">
        <v>93</v>
      </c>
      <c r="M117" s="23" cm="1">
        <f t="array" ref="M117">VLOOKUP(L117,'Rating Lookup'!$A2:$B138,2,FALSE)</f>
        <v>-1.89357854452855</v>
      </c>
      <c r="N117" t="s" s="26">
        <v>22</v>
      </c>
      <c r="O117" s="23" cm="1">
        <f t="array" ref="O117">VLOOKUP(N117,'Rating Lookup'!$A2:$B138,2,FALSE)</f>
        <v>4.55887600155886</v>
      </c>
      <c r="P117" s="23" cm="1">
        <f t="array" ref="P117">AVERAGE(C117,E117,G117,I117,K117,M117,O117)</f>
        <v>-1.23925981120572</v>
      </c>
    </row>
    <row r="118" ht="13.55" customHeight="1">
      <c r="A118" t="s" s="26">
        <v>66</v>
      </c>
      <c r="B118" t="s" s="26">
        <v>130</v>
      </c>
      <c r="C118" s="23" cm="1">
        <f t="array" ref="C118">VLOOKUP(B118,'Rating Lookup'!$A2:$B138,2,FALSE)</f>
        <v>-5.03311458515405</v>
      </c>
      <c r="D118" t="s" s="26">
        <v>42</v>
      </c>
      <c r="E118" s="23" cm="1">
        <f t="array" ref="E118">VLOOKUP(D118,'Rating Lookup'!$A2:$B138,2,FALSE)</f>
        <v>2.74320770982259</v>
      </c>
      <c r="F118" t="s" s="26">
        <v>40</v>
      </c>
      <c r="G118" s="23" cm="1">
        <f t="array" ref="G118">VLOOKUP(F118,'Rating Lookup'!$A2:$B138,2,FALSE)</f>
        <v>2.81548972381729</v>
      </c>
      <c r="H118" t="s" s="26">
        <v>71</v>
      </c>
      <c r="I118" s="23" cm="1">
        <f t="array" ref="I118">VLOOKUP(H118,'Rating Lookup'!$A2:$B138,2,FALSE)</f>
        <v>0.018556443215437</v>
      </c>
      <c r="J118" t="s" s="26">
        <v>14</v>
      </c>
      <c r="K118" s="23" cm="1">
        <f t="array" ref="K118">VLOOKUP(J118,'Rating Lookup'!$A2:$B138,2,FALSE)</f>
        <v>5.51360480483848</v>
      </c>
      <c r="L118" t="s" s="26">
        <v>98</v>
      </c>
      <c r="M118" s="23" cm="1">
        <f t="array" ref="M118">VLOOKUP(L118,'Rating Lookup'!$A2:$B138,2,FALSE)</f>
        <v>-2.14818495614045</v>
      </c>
      <c r="N118" t="s" s="26">
        <v>9</v>
      </c>
      <c r="O118" s="23" cm="1">
        <f t="array" ref="O118">VLOOKUP(N118,'Rating Lookup'!$A2:$B138,2,FALSE)</f>
        <v>6.03187766748243</v>
      </c>
      <c r="P118" s="23" cm="1">
        <f t="array" ref="P118">AVERAGE(C118,E118,G118,I118,K118,M118,O118)</f>
        <v>1.42020525826882</v>
      </c>
    </row>
    <row r="119" ht="13.55" customHeight="1">
      <c r="A119" t="s" s="26">
        <v>130</v>
      </c>
      <c r="B119" t="s" s="26">
        <v>66</v>
      </c>
      <c r="C119" s="23" cm="1">
        <f t="array" ref="C119">VLOOKUP(B119,'Rating Lookup'!$A2:$B138,2,FALSE)</f>
        <v>0.29521010233505</v>
      </c>
      <c r="D119" t="s" s="26">
        <v>128</v>
      </c>
      <c r="E119" s="23" cm="1">
        <f t="array" ref="E119">VLOOKUP(D119,'Rating Lookup'!$A2:$B138,2,FALSE)</f>
        <v>-4.71872907684507</v>
      </c>
      <c r="F119" t="s" s="26">
        <v>114</v>
      </c>
      <c r="G119" s="23" cm="1">
        <f t="array" ref="G119">VLOOKUP(F119,'Rating Lookup'!$A2:$B138,2,FALSE)</f>
        <v>-3.48946206869539</v>
      </c>
      <c r="H119" t="s" s="26">
        <v>54</v>
      </c>
      <c r="I119" s="23" cm="1">
        <f t="array" ref="I119">VLOOKUP(H119,'Rating Lookup'!$A2:$B138,2,FALSE)</f>
        <v>1.67670283281755</v>
      </c>
      <c r="J119" t="s" s="26">
        <v>45</v>
      </c>
      <c r="K119" s="23" cm="1">
        <f t="array" ref="K119">VLOOKUP(J119,'Rating Lookup'!$A2:$B138,2,FALSE)</f>
        <v>2.3773723661694</v>
      </c>
      <c r="L119" t="s" s="26">
        <v>48</v>
      </c>
      <c r="M119" s="23" cm="1">
        <f t="array" ref="M119">VLOOKUP(L119,'Rating Lookup'!$A2:$B138,2,FALSE)</f>
        <v>2.15718932731102</v>
      </c>
      <c r="N119" t="s" s="26">
        <v>63</v>
      </c>
      <c r="O119" s="23" cm="1">
        <f t="array" ref="O119">VLOOKUP(N119,'Rating Lookup'!$A2:$B138,2,FALSE)</f>
        <v>0.59579451619031</v>
      </c>
      <c r="P119" s="23" cm="1">
        <f t="array" ref="P119">AVERAGE(C119,E119,G119,I119,K119,M119,O119)</f>
        <v>-0.157988857245304</v>
      </c>
    </row>
    <row r="120" ht="13.55" customHeight="1">
      <c r="A120" t="s" s="26">
        <v>140</v>
      </c>
      <c r="B120" t="s" s="26">
        <v>129</v>
      </c>
      <c r="C120" s="23" cm="1">
        <f t="array" ref="C120">VLOOKUP(B120,'Rating Lookup'!$A2:$B138,2,FALSE)</f>
        <v>-4.82358776660641</v>
      </c>
      <c r="D120" t="s" s="26">
        <v>26</v>
      </c>
      <c r="E120" s="23" cm="1">
        <f t="array" ref="E120">VLOOKUP(D120,'Rating Lookup'!$A2:$B138,2,FALSE)</f>
        <v>4.01425721966897</v>
      </c>
      <c r="F120" t="s" s="26">
        <v>75</v>
      </c>
      <c r="G120" s="23" cm="1">
        <f t="array" ref="G120">VLOOKUP(F120,'Rating Lookup'!$A2:$B138,2,FALSE)</f>
        <v>-0.47110027727993</v>
      </c>
      <c r="H120" t="s" s="26">
        <v>119</v>
      </c>
      <c r="I120" s="23" cm="1">
        <f t="array" ref="I120">VLOOKUP(H120,'Rating Lookup'!$A2:$B138,2,FALSE)</f>
        <v>-3.95691937561155</v>
      </c>
      <c r="J120" t="s" s="26">
        <v>135</v>
      </c>
      <c r="K120" s="23" cm="1">
        <f t="array" ref="K120">VLOOKUP(J120,'Rating Lookup'!$A2:$B138,2,FALSE)</f>
        <v>-5.91317296171246</v>
      </c>
      <c r="L120" t="s" s="26">
        <v>73</v>
      </c>
      <c r="M120" s="23" cm="1">
        <f t="array" ref="M120">VLOOKUP(L120,'Rating Lookup'!$A2:$B138,2,FALSE)</f>
        <v>-0.42667333775956</v>
      </c>
      <c r="N120" t="s" s="26">
        <v>116</v>
      </c>
      <c r="O120" s="23" cm="1">
        <f t="array" ref="O120">VLOOKUP(N120,'Rating Lookup'!$A2:$B138,2,FALSE)</f>
        <v>-3.76562451732892</v>
      </c>
      <c r="P120" s="23" cm="1">
        <f t="array" ref="P120">AVERAGE(C120,E120,G120,I120,K120,M120,O120)</f>
        <v>-2.19183157380427</v>
      </c>
    </row>
    <row r="121" ht="13.55" customHeight="1">
      <c r="A121" t="s" s="26">
        <v>69</v>
      </c>
      <c r="B121" t="s" s="26">
        <v>21</v>
      </c>
      <c r="C121" s="23" cm="1">
        <f t="array" ref="C121">VLOOKUP(B121,'Rating Lookup'!$A2:$B138,2,FALSE)</f>
        <v>4.55913673980902</v>
      </c>
      <c r="D121" t="s" s="26">
        <v>8</v>
      </c>
      <c r="E121" s="23" cm="1">
        <f t="array" ref="E121">VLOOKUP(D121,'Rating Lookup'!$A2:$B138,2,FALSE)</f>
        <v>6.10756515153678</v>
      </c>
      <c r="F121" t="s" s="26">
        <v>51</v>
      </c>
      <c r="G121" s="23" cm="1">
        <f t="array" ref="G121">VLOOKUP(F121,'Rating Lookup'!$A2:$B138,2,FALSE)</f>
        <v>1.92271517987119</v>
      </c>
      <c r="H121" t="s" s="26">
        <v>125</v>
      </c>
      <c r="I121" s="23" cm="1">
        <f t="array" ref="I121">VLOOKUP(H121,'Rating Lookup'!$A2:$B138,2,FALSE)</f>
        <v>-4.34735517155842</v>
      </c>
      <c r="J121" t="s" s="26">
        <v>129</v>
      </c>
      <c r="K121" s="23" cm="1">
        <f t="array" ref="K121">VLOOKUP(J121,'Rating Lookup'!$A2:$B138,2,FALSE)</f>
        <v>-4.82358776660641</v>
      </c>
      <c r="L121" t="s" s="26">
        <v>10</v>
      </c>
      <c r="M121" s="23" cm="1">
        <f t="array" ref="M121">VLOOKUP(L121,'Rating Lookup'!$A2:$B138,2,FALSE)</f>
        <v>5.98822025778287</v>
      </c>
      <c r="N121" t="s" s="26">
        <v>55</v>
      </c>
      <c r="O121" s="23" cm="1">
        <f t="array" ref="O121">VLOOKUP(N121,'Rating Lookup'!$A2:$B138,2,FALSE)</f>
        <v>1.61968253185873</v>
      </c>
      <c r="P121" s="23" cm="1">
        <f t="array" ref="P121">AVERAGE(C121,E121,G121,I121,K121,M121,O121)</f>
        <v>1.57519670324197</v>
      </c>
    </row>
    <row r="122" ht="13.55" customHeight="1">
      <c r="A122" t="s" s="26">
        <v>8</v>
      </c>
      <c r="B122" t="s" s="26">
        <v>84</v>
      </c>
      <c r="C122" s="23" cm="1">
        <f t="array" ref="C122">VLOOKUP(B122,'Rating Lookup'!$A2:$B138,2,FALSE)</f>
        <v>-1.04555922522911</v>
      </c>
      <c r="D122" t="s" s="26">
        <v>69</v>
      </c>
      <c r="E122" s="23" cm="1">
        <f t="array" ref="E122">VLOOKUP(D122,'Rating Lookup'!$A2:$B138,2,FALSE)</f>
        <v>0.20014218519344</v>
      </c>
      <c r="F122" t="s" s="26">
        <v>134</v>
      </c>
      <c r="G122" s="23" cm="1">
        <f t="array" ref="G122">VLOOKUP(F122,'Rating Lookup'!$A2:$B138,2,FALSE)</f>
        <v>-5.69069429802854</v>
      </c>
      <c r="H122" t="s" s="26">
        <v>59</v>
      </c>
      <c r="I122" s="23" cm="1">
        <f t="array" ref="I122">VLOOKUP(H122,'Rating Lookup'!$A2:$B138,2,FALSE)</f>
        <v>1.35598510611147</v>
      </c>
      <c r="J122" t="s" s="26">
        <v>76</v>
      </c>
      <c r="K122" s="23" cm="1">
        <f t="array" ref="K122">VLOOKUP(J122,'Rating Lookup'!$A2:$B138,2,FALSE)</f>
        <v>-0.53831981595041</v>
      </c>
      <c r="L122" t="s" s="26">
        <v>60</v>
      </c>
      <c r="M122" s="23" cm="1">
        <f t="array" ref="M122">VLOOKUP(L122,'Rating Lookup'!$A2:$B138,2,FALSE)</f>
        <v>1.18530535993094</v>
      </c>
      <c r="N122" t="s" s="26">
        <v>104</v>
      </c>
      <c r="O122" s="23" cm="1">
        <f t="array" ref="O122">VLOOKUP(N122,'Rating Lookup'!$A2:$B138,2,FALSE)</f>
        <v>-2.58914252844136</v>
      </c>
      <c r="P122" s="23" cm="1">
        <f t="array" ref="P122">AVERAGE(C122,E122,G122,I122,K122,M122,O122)</f>
        <v>-1.01746903091622</v>
      </c>
    </row>
    <row r="123" ht="13.55" customHeight="1">
      <c r="A123" t="s" s="26">
        <v>99</v>
      </c>
      <c r="B123" t="s" s="26">
        <v>72</v>
      </c>
      <c r="C123" s="23" cm="1">
        <f t="array" ref="C123">VLOOKUP(B123,'Rating Lookup'!$A2:$B138,2,FALSE)</f>
        <v>-0.11442308333701</v>
      </c>
      <c r="D123" t="s" s="26">
        <v>138</v>
      </c>
      <c r="E123" s="23" cm="1">
        <f t="array" ref="E123">VLOOKUP(D123,'Rating Lookup'!$A2:$B138,2,FALSE)</f>
        <v>-7.42780318353212</v>
      </c>
      <c r="F123" t="s" s="26">
        <v>30</v>
      </c>
      <c r="G123" s="23" cm="1">
        <f t="array" ref="G123">VLOOKUP(F123,'Rating Lookup'!$A2:$B138,2,FALSE)</f>
        <v>3.69943647894699</v>
      </c>
      <c r="H123" t="s" s="26">
        <v>136</v>
      </c>
      <c r="I123" s="23" cm="1">
        <f t="array" ref="I123">VLOOKUP(H123,'Rating Lookup'!$A2:$B138,2,FALSE)</f>
        <v>-5.94609839358734</v>
      </c>
      <c r="J123" t="s" s="26">
        <v>103</v>
      </c>
      <c r="K123" s="23" cm="1">
        <f t="array" ref="K123">VLOOKUP(J123,'Rating Lookup'!$A2:$B138,2,FALSE)</f>
        <v>-2.57170378386919</v>
      </c>
      <c r="L123" t="s" s="26">
        <v>47</v>
      </c>
      <c r="M123" s="23" cm="1">
        <f t="array" ref="M123">VLOOKUP(L123,'Rating Lookup'!$A2:$B138,2,FALSE)</f>
        <v>2.18077992877894</v>
      </c>
      <c r="N123" t="s" s="26">
        <v>21</v>
      </c>
      <c r="O123" s="23" cm="1">
        <f t="array" ref="O123">VLOOKUP(N123,'Rating Lookup'!$A2:$B138,2,FALSE)</f>
        <v>4.55913673980902</v>
      </c>
      <c r="P123" s="23" cm="1">
        <f t="array" ref="P123">AVERAGE(C123,E123,G123,I123,K123,M123,O123)</f>
        <v>-0.802953613827244</v>
      </c>
    </row>
    <row r="124" ht="13.55" customHeight="1">
      <c r="A124" t="s" s="26">
        <v>53</v>
      </c>
      <c r="B124" t="s" s="26">
        <v>120</v>
      </c>
      <c r="C124" s="23" cm="1">
        <f t="array" ref="C124">VLOOKUP(B124,'Rating Lookup'!$A2:$B138,2,FALSE)</f>
        <v>-4.02321925506876</v>
      </c>
      <c r="D124" t="s" s="26">
        <v>81</v>
      </c>
      <c r="E124" s="23" cm="1">
        <f t="array" ref="E124">VLOOKUP(D124,'Rating Lookup'!$A2:$B138,2,FALSE)</f>
        <v>-0.88177362772117</v>
      </c>
      <c r="F124" t="s" s="26">
        <v>115</v>
      </c>
      <c r="G124" s="23" cm="1">
        <f t="array" ref="G124">VLOOKUP(F124,'Rating Lookup'!$A2:$B138,2,FALSE)</f>
        <v>-3.65935390300287</v>
      </c>
      <c r="H124" t="s" s="26">
        <v>27</v>
      </c>
      <c r="I124" s="23" cm="1">
        <f t="array" ref="I124">VLOOKUP(H124,'Rating Lookup'!$A2:$B138,2,FALSE)</f>
        <v>4.00435455050306</v>
      </c>
      <c r="J124" t="s" s="26">
        <v>121</v>
      </c>
      <c r="K124" s="23" cm="1">
        <f t="array" ref="K124">VLOOKUP(J124,'Rating Lookup'!$A2:$B138,2,FALSE)</f>
        <v>-4.08640151456241</v>
      </c>
      <c r="L124" t="s" s="26">
        <v>119</v>
      </c>
      <c r="M124" s="23" cm="1">
        <f t="array" ref="M124">VLOOKUP(L124,'Rating Lookup'!$A2:$B138,2,FALSE)</f>
        <v>-3.95691937561155</v>
      </c>
      <c r="N124" t="s" s="26">
        <v>18</v>
      </c>
      <c r="O124" s="23" cm="1">
        <f t="array" ref="O124">VLOOKUP(N124,'Rating Lookup'!$A2:$B138,2,FALSE)</f>
        <v>5.0922019441117</v>
      </c>
      <c r="P124" s="23" cm="1">
        <f t="array" ref="P124">AVERAGE(C124,E124,G124,I124,K124,M124,O124)</f>
        <v>-1.07301588305029</v>
      </c>
    </row>
    <row r="125" ht="13.55" customHeight="1">
      <c r="A125" t="s" s="26">
        <v>15</v>
      </c>
      <c r="B125" t="s" s="26">
        <v>42</v>
      </c>
      <c r="C125" s="23" cm="1">
        <f t="array" ref="C125">VLOOKUP(B125,'Rating Lookup'!$A2:$B138,2,FALSE)</f>
        <v>2.74320770982259</v>
      </c>
      <c r="D125" t="s" s="26">
        <v>124</v>
      </c>
      <c r="E125" s="23" cm="1">
        <f t="array" ref="E125">VLOOKUP(D125,'Rating Lookup'!$A2:$B138,2,FALSE)</f>
        <v>-4.3473535064778</v>
      </c>
      <c r="F125" t="s" s="26">
        <v>131</v>
      </c>
      <c r="G125" s="23" cm="1">
        <f t="array" ref="G125">VLOOKUP(F125,'Rating Lookup'!$A2:$B138,2,FALSE)</f>
        <v>-5.2111720771302</v>
      </c>
      <c r="H125" t="s" s="26">
        <v>126</v>
      </c>
      <c r="I125" s="23" cm="1">
        <f t="array" ref="I125">VLOOKUP(H125,'Rating Lookup'!$A2:$B138,2,FALSE)</f>
        <v>-4.4638143553882</v>
      </c>
      <c r="J125" t="s" s="26">
        <v>55</v>
      </c>
      <c r="K125" s="23" cm="1">
        <f t="array" ref="K125">VLOOKUP(J125,'Rating Lookup'!$A2:$B138,2,FALSE)</f>
        <v>1.61968253185873</v>
      </c>
      <c r="L125" t="s" s="26">
        <v>35</v>
      </c>
      <c r="M125" s="23" cm="1">
        <f t="array" ref="M125">VLOOKUP(L125,'Rating Lookup'!$A2:$B138,2,FALSE)</f>
        <v>3.31512010809599</v>
      </c>
      <c r="N125" t="s" s="26">
        <v>17</v>
      </c>
      <c r="O125" s="23" cm="1">
        <f t="array" ref="O125">VLOOKUP(N125,'Rating Lookup'!$A2:$B138,2,FALSE)</f>
        <v>5.22830415963158</v>
      </c>
      <c r="P125" s="23" cm="1">
        <f t="array" ref="P125">AVERAGE(C125,E125,G125,I125,K125,M125,O125)</f>
        <v>-0.159432204226759</v>
      </c>
    </row>
    <row r="126" ht="13.55" customHeight="1">
      <c r="A126" t="s" s="26">
        <v>132</v>
      </c>
      <c r="B126" t="s" s="26">
        <v>57</v>
      </c>
      <c r="C126" s="23" cm="1">
        <f t="array" ref="C126">VLOOKUP(B126,'Rating Lookup'!$A2:$B138,2,FALSE)</f>
        <v>1.60467129115595</v>
      </c>
      <c r="D126" t="s" s="26">
        <v>74</v>
      </c>
      <c r="E126" s="23" cm="1">
        <f t="array" ref="E126">VLOOKUP(D126,'Rating Lookup'!$A2:$B138,2,FALSE)</f>
        <v>-0.46501955700663</v>
      </c>
      <c r="F126" t="s" s="26">
        <v>63</v>
      </c>
      <c r="G126" s="23" cm="1">
        <f t="array" ref="G126">VLOOKUP(F126,'Rating Lookup'!$A2:$B138,2,FALSE)</f>
        <v>0.59579451619031</v>
      </c>
      <c r="H126" t="s" s="26">
        <v>63</v>
      </c>
      <c r="I126" s="23" cm="1">
        <f t="array" ref="I126">VLOOKUP(H126,'Rating Lookup'!$A2:$B138,2,FALSE)</f>
        <v>0.59579451619031</v>
      </c>
      <c r="J126" t="s" s="26">
        <v>60</v>
      </c>
      <c r="K126" s="23" cm="1">
        <f t="array" ref="K126">VLOOKUP(J126,'Rating Lookup'!$A2:$B138,2,FALSE)</f>
        <v>1.18530535993094</v>
      </c>
      <c r="L126" t="s" s="26">
        <v>41</v>
      </c>
      <c r="M126" s="23" cm="1">
        <f t="array" ref="M126">VLOOKUP(L126,'Rating Lookup'!$A2:$B138,2,FALSE)</f>
        <v>2.77908909331727</v>
      </c>
      <c r="N126" t="s" s="26">
        <v>39</v>
      </c>
      <c r="O126" s="23" cm="1">
        <f t="array" ref="O126">VLOOKUP(N126,'Rating Lookup'!$A2:$B138,2,FALSE)</f>
        <v>3.10202729206284</v>
      </c>
      <c r="P126" s="23" cm="1">
        <f t="array" ref="P126">AVERAGE(C126,E126,G126,I126,K126,M126,O126)</f>
        <v>1.34252321597728</v>
      </c>
    </row>
    <row r="127" ht="13.55" customHeight="1">
      <c r="A127" t="s" s="26">
        <v>30</v>
      </c>
      <c r="B127" t="s" s="26">
        <v>65</v>
      </c>
      <c r="C127" s="23" cm="1">
        <f t="array" ref="C127">VLOOKUP(B127,'Rating Lookup'!$A2:$B138,2,FALSE)</f>
        <v>0.5243959583097469</v>
      </c>
      <c r="D127" t="s" s="26">
        <v>89</v>
      </c>
      <c r="E127" s="23" cm="1">
        <f t="array" ref="E127">VLOOKUP(D127,'Rating Lookup'!$A2:$B138,2,FALSE)</f>
        <v>-1.465873424251</v>
      </c>
      <c r="F127" t="s" s="26">
        <v>99</v>
      </c>
      <c r="G127" s="23" cm="1">
        <f t="array" ref="G127">VLOOKUP(F127,'Rating Lookup'!$A2:$B138,2,FALSE)</f>
        <v>-2.17781183627959</v>
      </c>
      <c r="H127" t="s" s="26">
        <v>127</v>
      </c>
      <c r="I127" s="23" cm="1">
        <f t="array" ref="I127">VLOOKUP(H127,'Rating Lookup'!$A2:$B138,2,FALSE)</f>
        <v>-4.46999207445372</v>
      </c>
      <c r="J127" t="s" s="26">
        <v>122</v>
      </c>
      <c r="K127" s="23" cm="1">
        <f t="array" ref="K127">VLOOKUP(J127,'Rating Lookup'!$A2:$B138,2,FALSE)</f>
        <v>-4.1152424920869</v>
      </c>
      <c r="L127" t="s" s="26">
        <v>94</v>
      </c>
      <c r="M127" s="23" cm="1">
        <f t="array" ref="M127">VLOOKUP(L127,'Rating Lookup'!$A2:$B138,2,FALSE)</f>
        <v>-1.91272420043442</v>
      </c>
      <c r="N127" t="s" s="26">
        <v>52</v>
      </c>
      <c r="O127" s="23" cm="1">
        <f t="array" ref="O127">VLOOKUP(N127,'Rating Lookup'!$A2:$B138,2,FALSE)</f>
        <v>1.88863509001956</v>
      </c>
      <c r="P127" s="23" cm="1">
        <f t="array" ref="P127">AVERAGE(C127,E127,G127,I127,K127,M127,O127)</f>
        <v>-1.67551613988233</v>
      </c>
    </row>
    <row r="128" ht="13.55" customHeight="1">
      <c r="A128" t="s" s="26">
        <v>40</v>
      </c>
      <c r="B128" t="s" s="26">
        <v>34</v>
      </c>
      <c r="C128" s="23" cm="1">
        <f t="array" ref="C128">VLOOKUP(B128,'Rating Lookup'!$A2:$B138,2,FALSE)</f>
        <v>3.46082209671099</v>
      </c>
      <c r="D128" t="s" s="26">
        <v>62</v>
      </c>
      <c r="E128" s="23" cm="1">
        <f t="array" ref="E128">VLOOKUP(D128,'Rating Lookup'!$A2:$B138,2,FALSE)</f>
        <v>0.66379483818593</v>
      </c>
      <c r="F128" t="s" s="26">
        <v>66</v>
      </c>
      <c r="G128" s="23" cm="1">
        <f t="array" ref="G128">VLOOKUP(F128,'Rating Lookup'!$A2:$B138,2,FALSE)</f>
        <v>0.29521010233505</v>
      </c>
      <c r="H128" t="s" s="26">
        <v>70</v>
      </c>
      <c r="I128" s="23" cm="1">
        <f t="array" ref="I128">VLOOKUP(H128,'Rating Lookup'!$A2:$B138,2,FALSE)</f>
        <v>0.14360151048081</v>
      </c>
      <c r="J128" t="s" s="26">
        <v>63</v>
      </c>
      <c r="K128" s="23" cm="1">
        <f t="array" ref="K128">VLOOKUP(J128,'Rating Lookup'!$A2:$B138,2,FALSE)</f>
        <v>0.59579451619031</v>
      </c>
      <c r="L128" t="s" s="26">
        <v>42</v>
      </c>
      <c r="M128" s="23" cm="1">
        <f t="array" ref="M128">VLOOKUP(L128,'Rating Lookup'!$A2:$B138,2,FALSE)</f>
        <v>2.74320770982259</v>
      </c>
      <c r="N128" t="s" s="26">
        <v>47</v>
      </c>
      <c r="O128" s="23" cm="1">
        <f t="array" ref="O128">VLOOKUP(N128,'Rating Lookup'!$A2:$B138,2,FALSE)</f>
        <v>2.18077992877894</v>
      </c>
      <c r="P128" s="23" cm="1">
        <f t="array" ref="P128">AVERAGE(C128,E128,G128,I128,K128,M128,O128)</f>
        <v>1.44045867178637</v>
      </c>
    </row>
    <row r="129" ht="13.55" customHeight="1">
      <c r="A129" t="s" s="26">
        <v>82</v>
      </c>
      <c r="B129" t="s" s="26">
        <v>31</v>
      </c>
      <c r="C129" s="23" cm="1">
        <f t="array" ref="C129">VLOOKUP(B129,'Rating Lookup'!$A2:$B138,2,FALSE)</f>
        <v>3.65492759905113</v>
      </c>
      <c r="D129" t="s" s="26">
        <v>72</v>
      </c>
      <c r="E129" s="23" cm="1">
        <f t="array" ref="E129">VLOOKUP(D129,'Rating Lookup'!$A2:$B138,2,FALSE)</f>
        <v>-0.11442308333701</v>
      </c>
      <c r="F129" t="s" s="26">
        <v>42</v>
      </c>
      <c r="G129" s="23" cm="1">
        <f t="array" ref="G129">VLOOKUP(F129,'Rating Lookup'!$A2:$B138,2,FALSE)</f>
        <v>2.74320770982259</v>
      </c>
      <c r="H129" t="s" s="26">
        <v>29</v>
      </c>
      <c r="I129" s="23" cm="1">
        <f t="array" ref="I129">VLOOKUP(H129,'Rating Lookup'!$A2:$B138,2,FALSE)</f>
        <v>3.90358287595508</v>
      </c>
      <c r="J129" t="s" s="26">
        <v>31</v>
      </c>
      <c r="K129" s="23" cm="1">
        <f t="array" ref="K129">VLOOKUP(J129,'Rating Lookup'!$A2:$B138,2,FALSE)</f>
        <v>3.65492759905113</v>
      </c>
      <c r="L129" t="s" s="26">
        <v>124</v>
      </c>
      <c r="M129" s="23" cm="1">
        <f t="array" ref="M129">VLOOKUP(L129,'Rating Lookup'!$A2:$B138,2,FALSE)</f>
        <v>-4.3473535064778</v>
      </c>
      <c r="N129" t="s" s="26">
        <v>131</v>
      </c>
      <c r="O129" s="23" cm="1">
        <f t="array" ref="O129">VLOOKUP(N129,'Rating Lookup'!$A2:$B138,2,FALSE)</f>
        <v>-5.2111720771302</v>
      </c>
      <c r="P129" s="23" cm="1">
        <f t="array" ref="P129">AVERAGE(C129,E129,G129,I129,K129,M129,O129)</f>
        <v>0.611956730990703</v>
      </c>
    </row>
    <row r="130" ht="13.55" customHeight="1">
      <c r="A130" t="s" s="26">
        <v>96</v>
      </c>
      <c r="B130" t="s" s="26">
        <v>44</v>
      </c>
      <c r="C130" s="23" cm="1">
        <f t="array" ref="C130">VLOOKUP(B130,'Rating Lookup'!$A2:$B138,2,FALSE)</f>
        <v>2.62459139012443</v>
      </c>
      <c r="D130" t="s" s="26">
        <v>114</v>
      </c>
      <c r="E130" s="23" cm="1">
        <f t="array" ref="E130">VLOOKUP(D130,'Rating Lookup'!$A2:$B138,2,FALSE)</f>
        <v>-3.48946206869539</v>
      </c>
      <c r="F130" t="s" s="26">
        <v>80</v>
      </c>
      <c r="G130" s="23" cm="1">
        <f t="array" ref="G130">VLOOKUP(F130,'Rating Lookup'!$A2:$B138,2,FALSE)</f>
        <v>-0.84768132374283</v>
      </c>
      <c r="H130" t="s" s="26">
        <v>118</v>
      </c>
      <c r="I130" s="23" cm="1">
        <f t="array" ref="I130">VLOOKUP(H130,'Rating Lookup'!$A2:$B138,2,FALSE)</f>
        <v>-3.83643338464872</v>
      </c>
      <c r="J130" t="s" s="26">
        <v>87</v>
      </c>
      <c r="K130" s="23" cm="1">
        <f t="array" ref="K130">VLOOKUP(J130,'Rating Lookup'!$A2:$B138,2,FALSE)</f>
        <v>-1.20871388306861</v>
      </c>
      <c r="L130" t="s" s="26">
        <v>100</v>
      </c>
      <c r="M130" s="23" cm="1">
        <f t="array" ref="M130">VLOOKUP(L130,'Rating Lookup'!$A2:$B138,2,FALSE)</f>
        <v>-2.2314514587537</v>
      </c>
      <c r="N130" t="s" s="26">
        <v>56</v>
      </c>
      <c r="O130" s="23" cm="1">
        <f t="array" ref="O130">VLOOKUP(N130,'Rating Lookup'!$A2:$B138,2,FALSE)</f>
        <v>1.60624122091741</v>
      </c>
      <c r="P130" s="23" cm="1">
        <f t="array" ref="P130">AVERAGE(C130,E130,G130,I130,K130,M130,O130)</f>
        <v>-1.05470135826677</v>
      </c>
    </row>
    <row r="131" ht="13.55" customHeight="1">
      <c r="A131" t="s" s="26">
        <v>59</v>
      </c>
      <c r="B131" t="s" s="26">
        <v>28</v>
      </c>
      <c r="C131" s="23" cm="1">
        <f t="array" ref="C131">VLOOKUP(B131,'Rating Lookup'!$A2:$B138,2,FALSE)</f>
        <v>3.94267847649009</v>
      </c>
      <c r="D131" t="s" s="26">
        <v>13</v>
      </c>
      <c r="E131" s="23" cm="1">
        <f t="array" ref="E131">VLOOKUP(D131,'Rating Lookup'!$A2:$B138,2,FALSE)</f>
        <v>5.59129696346212</v>
      </c>
      <c r="F131" t="s" s="26">
        <v>71</v>
      </c>
      <c r="G131" s="23" cm="1">
        <f t="array" ref="G131">VLOOKUP(F131,'Rating Lookup'!$A2:$B138,2,FALSE)</f>
        <v>0.018556443215437</v>
      </c>
      <c r="H131" t="s" s="26">
        <v>8</v>
      </c>
      <c r="I131" s="23" cm="1">
        <f t="array" ref="I131">VLOOKUP(H131,'Rating Lookup'!$A2:$B138,2,FALSE)</f>
        <v>6.10756515153678</v>
      </c>
      <c r="J131" t="s" s="26">
        <v>54</v>
      </c>
      <c r="K131" s="23" cm="1">
        <f t="array" ref="K131">VLOOKUP(J131,'Rating Lookup'!$A2:$B138,2,FALSE)</f>
        <v>1.67670283281755</v>
      </c>
      <c r="L131" t="s" s="26">
        <v>106</v>
      </c>
      <c r="M131" s="23" cm="1">
        <f t="array" ref="M131">VLOOKUP(L131,'Rating Lookup'!$A2:$B138,2,FALSE)</f>
        <v>-2.74762863241334</v>
      </c>
      <c r="N131" t="s" s="26">
        <v>41</v>
      </c>
      <c r="O131" s="23" cm="1">
        <f t="array" ref="O131">VLOOKUP(N131,'Rating Lookup'!$A2:$B138,2,FALSE)</f>
        <v>2.77908909331727</v>
      </c>
      <c r="P131" s="23" cm="1">
        <f t="array" ref="P131">AVERAGE(C131,E131,G131,I131,K131,M131,O131)</f>
        <v>2.48118004691799</v>
      </c>
    </row>
    <row r="132" ht="13.55" customHeight="1">
      <c r="A132" t="s" s="26">
        <v>60</v>
      </c>
      <c r="B132" t="s" s="26">
        <v>5</v>
      </c>
      <c r="C132" s="23" cm="1">
        <f t="array" ref="C132">VLOOKUP(B132,'Rating Lookup'!$A2:$B138,2,FALSE)</f>
        <v>7.75371529836661</v>
      </c>
      <c r="D132" t="s" s="26">
        <v>93</v>
      </c>
      <c r="E132" s="23" cm="1">
        <f t="array" ref="E132">VLOOKUP(D132,'Rating Lookup'!$A2:$B138,2,FALSE)</f>
        <v>-1.89357854452855</v>
      </c>
      <c r="F132" t="s" s="26">
        <v>9</v>
      </c>
      <c r="G132" s="23" cm="1">
        <f t="array" ref="G132">VLOOKUP(F132,'Rating Lookup'!$A2:$B138,2,FALSE)</f>
        <v>6.03187766748243</v>
      </c>
      <c r="H132" t="s" s="26">
        <v>12</v>
      </c>
      <c r="I132" s="23" cm="1">
        <f t="array" ref="I132">VLOOKUP(H132,'Rating Lookup'!$A2:$B138,2,FALSE)</f>
        <v>5.59982769875114</v>
      </c>
      <c r="J132" t="s" s="26">
        <v>132</v>
      </c>
      <c r="K132" s="23" cm="1">
        <f t="array" ref="K132">VLOOKUP(J132,'Rating Lookup'!$A2:$B138,2,FALSE)</f>
        <v>-5.53252093819443</v>
      </c>
      <c r="L132" t="s" s="26">
        <v>8</v>
      </c>
      <c r="M132" s="23" cm="1">
        <f t="array" ref="M132">VLOOKUP(L132,'Rating Lookup'!$A2:$B138,2,FALSE)</f>
        <v>6.10756515153678</v>
      </c>
      <c r="N132" t="s" s="26">
        <v>93</v>
      </c>
      <c r="O132" s="23" cm="1">
        <f t="array" ref="O132">VLOOKUP(N132,'Rating Lookup'!$A2:$B138,2,FALSE)</f>
        <v>-1.89357854452855</v>
      </c>
      <c r="P132" s="23" cm="1">
        <f t="array" ref="P132">AVERAGE(C132,E132,G132,I132,K132,M132,O132)</f>
        <v>2.31047254126935</v>
      </c>
    </row>
    <row r="133" ht="13.55" customHeight="1">
      <c r="A133" t="s" s="26">
        <v>49</v>
      </c>
      <c r="B133" t="s" s="26">
        <v>103</v>
      </c>
      <c r="C133" s="23" cm="1">
        <f t="array" ref="C133">VLOOKUP(B133,'Rating Lookup'!$A2:$B138,2,FALSE)</f>
        <v>-2.57170378386919</v>
      </c>
      <c r="D133" t="s" s="26">
        <v>123</v>
      </c>
      <c r="E133" s="23" cm="1">
        <f t="array" ref="E133">VLOOKUP(D133,'Rating Lookup'!$A2:$B138,2,FALSE)</f>
        <v>-4.19472030187331</v>
      </c>
      <c r="F133" t="s" s="26">
        <v>47</v>
      </c>
      <c r="G133" s="23" cm="1">
        <f t="array" ref="G133">VLOOKUP(F133,'Rating Lookup'!$A2:$B138,2,FALSE)</f>
        <v>2.18077992877894</v>
      </c>
      <c r="H133" t="s" s="26">
        <v>43</v>
      </c>
      <c r="I133" s="23" cm="1">
        <f t="array" ref="I133">VLOOKUP(H133,'Rating Lookup'!$A2:$B138,2,FALSE)</f>
        <v>2.62817334380147</v>
      </c>
      <c r="J133" t="s" s="26">
        <v>124</v>
      </c>
      <c r="K133" s="23" cm="1">
        <f t="array" ref="K133">VLOOKUP(J133,'Rating Lookup'!$A2:$B138,2,FALSE)</f>
        <v>-4.3473535064778</v>
      </c>
      <c r="L133" t="s" s="26">
        <v>24</v>
      </c>
      <c r="M133" s="23" cm="1">
        <f t="array" ref="M133">VLOOKUP(L133,'Rating Lookup'!$A2:$B138,2,FALSE)</f>
        <v>4.31123264075225</v>
      </c>
      <c r="N133" t="s" s="26">
        <v>134</v>
      </c>
      <c r="O133" s="23" cm="1">
        <f t="array" ref="O133">VLOOKUP(N133,'Rating Lookup'!$A2:$B138,2,FALSE)</f>
        <v>-5.69069429802854</v>
      </c>
      <c r="P133" s="23" cm="1">
        <f t="array" ref="P133">AVERAGE(C133,E133,G133,I133,K133,M133,O133)</f>
        <v>-1.09775513955945</v>
      </c>
    </row>
    <row r="134" ht="13.55" customHeight="1">
      <c r="A134" t="s" s="26">
        <v>93</v>
      </c>
      <c r="B134" t="s" s="26">
        <v>80</v>
      </c>
      <c r="C134" s="23" cm="1">
        <f t="array" ref="C134">VLOOKUP(B134,'Rating Lookup'!$A2:$B138,2,FALSE)</f>
        <v>-0.84768132374283</v>
      </c>
      <c r="D134" t="s" s="26">
        <v>60</v>
      </c>
      <c r="E134" s="23" cm="1">
        <f t="array" ref="E134">VLOOKUP(D134,'Rating Lookup'!$A2:$B138,2,FALSE)</f>
        <v>1.18530535993094</v>
      </c>
      <c r="F134" t="s" s="26">
        <v>83</v>
      </c>
      <c r="G134" s="23" cm="1">
        <f t="array" ref="G134">VLOOKUP(F134,'Rating Lookup'!$A2:$B138,2,FALSE)</f>
        <v>-1.04226754877399</v>
      </c>
      <c r="H134" t="s" s="26">
        <v>50</v>
      </c>
      <c r="I134" s="23" cm="1">
        <f t="array" ref="I134">VLOOKUP(H134,'Rating Lookup'!$A2:$B138,2,FALSE)</f>
        <v>1.94954402902408</v>
      </c>
      <c r="J134" t="s" s="26">
        <v>136</v>
      </c>
      <c r="K134" s="23" cm="1">
        <f t="array" ref="K134">VLOOKUP(J134,'Rating Lookup'!$A2:$B138,2,FALSE)</f>
        <v>-5.94609839358734</v>
      </c>
      <c r="L134" t="s" s="26">
        <v>72</v>
      </c>
      <c r="M134" s="23" cm="1">
        <f t="array" ref="M134">VLOOKUP(L134,'Rating Lookup'!$A2:$B138,2,FALSE)</f>
        <v>-0.11442308333701</v>
      </c>
      <c r="N134" t="s" s="26">
        <v>60</v>
      </c>
      <c r="O134" s="23" cm="1">
        <f t="array" ref="O134">VLOOKUP(N134,'Rating Lookup'!$A2:$B138,2,FALSE)</f>
        <v>1.18530535993094</v>
      </c>
      <c r="P134" s="23" cm="1">
        <f t="array" ref="P134">AVERAGE(C134,E134,G134,I134,K134,M134,O134)</f>
        <v>-0.51861651436503</v>
      </c>
    </row>
    <row r="135" ht="13.55" customHeight="1">
      <c r="A135" t="s" s="26">
        <v>35</v>
      </c>
      <c r="B135" t="s" s="26">
        <v>62</v>
      </c>
      <c r="C135" s="23" cm="1">
        <f t="array" ref="C135">VLOOKUP(B135,'Rating Lookup'!$A2:$B138,2,FALSE)</f>
        <v>0.66379483818593</v>
      </c>
      <c r="D135" t="s" s="26">
        <v>90</v>
      </c>
      <c r="E135" s="23" cm="1">
        <f t="array" ref="E135">VLOOKUP(D135,'Rating Lookup'!$A2:$B138,2,FALSE)</f>
        <v>-1.62598908807918</v>
      </c>
      <c r="F135" t="s" s="26">
        <v>120</v>
      </c>
      <c r="G135" s="23" cm="1">
        <f t="array" ref="G135">VLOOKUP(F135,'Rating Lookup'!$A2:$B138,2,FALSE)</f>
        <v>-4.02321925506876</v>
      </c>
      <c r="H135" t="s" s="26">
        <v>55</v>
      </c>
      <c r="I135" s="23" cm="1">
        <f t="array" ref="I135">VLOOKUP(H135,'Rating Lookup'!$A2:$B138,2,FALSE)</f>
        <v>1.61968253185873</v>
      </c>
      <c r="J135" t="s" s="26">
        <v>33</v>
      </c>
      <c r="K135" s="23" cm="1">
        <f t="array" ref="K135">VLOOKUP(J135,'Rating Lookup'!$A2:$B138,2,FALSE)</f>
        <v>3.47491832350742</v>
      </c>
      <c r="L135" t="s" s="26">
        <v>15</v>
      </c>
      <c r="M135" s="23" cm="1">
        <f t="array" ref="M135">VLOOKUP(L135,'Rating Lookup'!$A2:$B138,2,FALSE)</f>
        <v>5.46568762547505</v>
      </c>
      <c r="N135" t="s" s="26">
        <v>101</v>
      </c>
      <c r="O135" s="23" cm="1">
        <f t="array" ref="O135">VLOOKUP(N135,'Rating Lookup'!$A2:$B138,2,FALSE)</f>
        <v>-2.49383104131239</v>
      </c>
      <c r="P135" s="23" cm="1">
        <f t="array" ref="P135">AVERAGE(C135,E135,G135,I135,K135,M135,O135)</f>
        <v>0.440149133509543</v>
      </c>
    </row>
    <row r="136" ht="13.55" customHeight="1">
      <c r="A136" t="s" s="26">
        <v>50</v>
      </c>
      <c r="B136" t="s" s="26">
        <v>48</v>
      </c>
      <c r="C136" s="23" cm="1">
        <f t="array" ref="C136">VLOOKUP(B136,'Rating Lookup'!$A2:$B138,2,FALSE)</f>
        <v>2.15718932731102</v>
      </c>
      <c r="D136" t="s" s="26">
        <v>14</v>
      </c>
      <c r="E136" s="23" cm="1">
        <f t="array" ref="E136">VLOOKUP(D136,'Rating Lookup'!$A2:$B138,2,FALSE)</f>
        <v>5.51360480483848</v>
      </c>
      <c r="F136" t="s" s="26">
        <v>23</v>
      </c>
      <c r="G136" s="23" cm="1">
        <f t="array" ref="G136">VLOOKUP(F136,'Rating Lookup'!$A2:$B138,2,FALSE)</f>
        <v>4.40189201585545</v>
      </c>
      <c r="H136" t="s" s="26">
        <v>93</v>
      </c>
      <c r="I136" s="23" cm="1">
        <f t="array" ref="I136">VLOOKUP(H136,'Rating Lookup'!$A2:$B138,2,FALSE)</f>
        <v>-1.89357854452855</v>
      </c>
      <c r="J136" t="s" s="26">
        <v>100</v>
      </c>
      <c r="K136" s="23" cm="1">
        <f t="array" ref="K136">VLOOKUP(J136,'Rating Lookup'!$A2:$B138,2,FALSE)</f>
        <v>-2.2314514587537</v>
      </c>
      <c r="L136" t="s" s="26">
        <v>11</v>
      </c>
      <c r="M136" s="23" cm="1">
        <f t="array" ref="M136">VLOOKUP(L136,'Rating Lookup'!$A2:$B138,2,FALSE)</f>
        <v>5.67199536229164</v>
      </c>
      <c r="N136" t="s" s="26">
        <v>125</v>
      </c>
      <c r="O136" s="23" cm="1">
        <f t="array" ref="O136">VLOOKUP(N136,'Rating Lookup'!$A2:$B138,2,FALSE)</f>
        <v>-4.34735517155842</v>
      </c>
      <c r="P136" s="23" cm="1">
        <f t="array" ref="P136">AVERAGE(C136,E136,G136,I136,K136,M136,O136)</f>
        <v>1.32461376220799</v>
      </c>
    </row>
    <row r="137" ht="13.55" customHeight="1">
      <c r="A137" t="s" s="26">
        <v>128</v>
      </c>
      <c r="B137" t="s" s="26">
        <v>16</v>
      </c>
      <c r="C137" s="23" cm="1">
        <f t="array" ref="C137">VLOOKUP(B137,'Rating Lookup'!$A2:$B138,2,FALSE)</f>
        <v>5.27483839422214</v>
      </c>
      <c r="D137" t="s" s="26">
        <v>130</v>
      </c>
      <c r="E137" s="23" cm="1">
        <f t="array" ref="E137">VLOOKUP(D137,'Rating Lookup'!$A2:$B138,2,FALSE)</f>
        <v>-5.03311458515405</v>
      </c>
      <c r="F137" t="s" s="26">
        <v>89</v>
      </c>
      <c r="G137" s="23" cm="1">
        <f t="array" ref="G137">VLOOKUP(F137,'Rating Lookup'!$A2:$B138,2,FALSE)</f>
        <v>-1.465873424251</v>
      </c>
      <c r="H137" t="s" s="26">
        <v>102</v>
      </c>
      <c r="I137" s="23" cm="1">
        <f t="array" ref="I137">VLOOKUP(H137,'Rating Lookup'!$A2:$B138,2,FALSE)</f>
        <v>-2.53885665448911</v>
      </c>
      <c r="J137" t="s" s="26">
        <v>89</v>
      </c>
      <c r="K137" s="23" cm="1">
        <f t="array" ref="K137">VLOOKUP(J137,'Rating Lookup'!$A2:$B138,2,FALSE)</f>
        <v>-1.465873424251</v>
      </c>
      <c r="L137" t="s" s="26">
        <v>71</v>
      </c>
      <c r="M137" s="23" cm="1">
        <f t="array" ref="M137">VLOOKUP(L137,'Rating Lookup'!$A2:$B138,2,FALSE)</f>
        <v>0.018556443215437</v>
      </c>
      <c r="N137" t="s" s="26">
        <v>136</v>
      </c>
      <c r="O137" s="23" cm="1">
        <f t="array" ref="O137">VLOOKUP(N137,'Rating Lookup'!$A2:$B138,2,FALSE)</f>
        <v>-5.94609839358734</v>
      </c>
      <c r="P137" s="23" cm="1">
        <f t="array" ref="P137">AVERAGE(C137,E137,G137,I137,K137,M137,O137)</f>
        <v>-1.59377452061356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5.4" customHeight="1" outlineLevelRow="0" outlineLevelCol="0"/>
  <cols>
    <col min="1" max="5" width="16.3516" style="27" customWidth="1"/>
    <col min="6" max="16384" width="16.3516" style="27" customWidth="1"/>
  </cols>
  <sheetData>
    <row r="1" ht="15.55" customHeight="1">
      <c r="A1" t="s" s="2">
        <v>0</v>
      </c>
      <c r="B1" s="2"/>
      <c r="C1" s="2"/>
      <c r="D1" s="2"/>
      <c r="E1" s="2"/>
    </row>
    <row r="2" ht="13.2" customHeight="1">
      <c r="A2" s="28"/>
      <c r="B2" s="28"/>
      <c r="C2" s="5"/>
      <c r="D2" s="5"/>
      <c r="E2" s="5"/>
    </row>
    <row r="3" ht="13.55" customHeight="1">
      <c r="A3" t="s" s="7">
        <v>86</v>
      </c>
      <c r="B3" s="15">
        <v>-1.16960524424737</v>
      </c>
      <c r="C3" s="10"/>
      <c r="D3" s="10"/>
      <c r="E3" s="10"/>
    </row>
    <row r="4" ht="13.55" customHeight="1">
      <c r="A4" t="s" s="7">
        <v>136</v>
      </c>
      <c r="B4" s="11">
        <v>-5.94609839358734</v>
      </c>
      <c r="C4" s="13"/>
      <c r="D4" s="13"/>
      <c r="E4" s="13"/>
    </row>
    <row r="5" ht="13.55" customHeight="1">
      <c r="A5" t="s" s="7">
        <v>17</v>
      </c>
      <c r="B5" s="11">
        <v>5.22830415963158</v>
      </c>
      <c r="C5" s="13"/>
      <c r="D5" s="13"/>
      <c r="E5" s="13"/>
    </row>
    <row r="6" ht="13.55" customHeight="1">
      <c r="A6" t="s" s="7">
        <v>122</v>
      </c>
      <c r="B6" s="11">
        <v>-4.1152424920869</v>
      </c>
      <c r="C6" s="13"/>
      <c r="D6" s="13"/>
      <c r="E6" s="13"/>
    </row>
    <row r="7" ht="13.55" customHeight="1">
      <c r="A7" t="s" s="7">
        <v>46</v>
      </c>
      <c r="B7" s="11">
        <v>2.24485292723666</v>
      </c>
      <c r="C7" s="13"/>
      <c r="D7" s="13"/>
      <c r="E7" s="13"/>
    </row>
    <row r="8" ht="13.55" customHeight="1">
      <c r="A8" t="s" s="7">
        <v>52</v>
      </c>
      <c r="B8" s="11">
        <v>1.88863509001956</v>
      </c>
      <c r="C8" s="13"/>
      <c r="D8" s="13"/>
      <c r="E8" s="13"/>
    </row>
    <row r="9" ht="13.55" customHeight="1">
      <c r="A9" t="s" s="7">
        <v>101</v>
      </c>
      <c r="B9" s="11">
        <v>-2.49383104131239</v>
      </c>
      <c r="C9" s="13"/>
      <c r="D9" s="13"/>
      <c r="E9" s="13"/>
    </row>
    <row r="10" ht="13.55" customHeight="1">
      <c r="A10" t="s" s="7">
        <v>77</v>
      </c>
      <c r="B10" s="11">
        <v>-0.54225690934153</v>
      </c>
      <c r="C10" s="13"/>
      <c r="D10" s="13"/>
      <c r="E10" s="13"/>
    </row>
    <row r="11" ht="13.55" customHeight="1">
      <c r="A11" t="s" s="7">
        <v>75</v>
      </c>
      <c r="B11" s="11">
        <v>-0.47110027727993</v>
      </c>
      <c r="C11" s="13"/>
      <c r="D11" s="13"/>
      <c r="E11" s="13"/>
    </row>
    <row r="12" ht="13.55" customHeight="1">
      <c r="A12" t="s" s="7">
        <v>44</v>
      </c>
      <c r="B12" s="11">
        <v>2.62459139012443</v>
      </c>
      <c r="C12" s="13"/>
      <c r="D12" s="13"/>
      <c r="E12" s="13"/>
    </row>
    <row r="13" ht="13.55" customHeight="1">
      <c r="A13" t="s" s="7">
        <v>56</v>
      </c>
      <c r="B13" s="11">
        <v>1.60624122091741</v>
      </c>
      <c r="C13" s="13"/>
      <c r="D13" s="13"/>
      <c r="E13" s="13"/>
    </row>
    <row r="14" ht="13.55" customHeight="1">
      <c r="A14" t="s" s="7">
        <v>139</v>
      </c>
      <c r="B14" s="11">
        <v>-7.85541016002437</v>
      </c>
      <c r="C14" s="13"/>
      <c r="D14" s="13"/>
      <c r="E14" s="13"/>
    </row>
    <row r="15" ht="13.55" customHeight="1">
      <c r="A15" t="s" s="7">
        <v>102</v>
      </c>
      <c r="B15" s="11">
        <v>-2.53885665448911</v>
      </c>
      <c r="C15" s="13"/>
      <c r="D15" s="13"/>
      <c r="E15" s="13"/>
    </row>
    <row r="16" ht="13.55" customHeight="1">
      <c r="A16" t="s" s="7">
        <v>62</v>
      </c>
      <c r="B16" s="11">
        <v>0.66379483818593</v>
      </c>
      <c r="C16" s="13"/>
      <c r="D16" s="13"/>
      <c r="E16" s="13"/>
    </row>
    <row r="17" ht="13.55" customHeight="1">
      <c r="A17" t="s" s="7">
        <v>74</v>
      </c>
      <c r="B17" s="11">
        <v>-0.46501955700663</v>
      </c>
      <c r="C17" s="13"/>
      <c r="D17" s="13"/>
      <c r="E17" s="13"/>
    </row>
    <row r="18" ht="13.55" customHeight="1">
      <c r="A18" t="s" s="7">
        <v>137</v>
      </c>
      <c r="B18" s="11">
        <v>-6.85729246652121</v>
      </c>
      <c r="C18" s="13"/>
      <c r="D18" s="13"/>
      <c r="E18" s="13"/>
    </row>
    <row r="19" ht="13.55" customHeight="1">
      <c r="A19" t="s" s="7">
        <v>48</v>
      </c>
      <c r="B19" s="11">
        <v>2.15718932731102</v>
      </c>
      <c r="C19" s="13"/>
      <c r="D19" s="13"/>
      <c r="E19" s="13"/>
    </row>
    <row r="20" ht="13.55" customHeight="1">
      <c r="A20" t="s" s="7">
        <v>117</v>
      </c>
      <c r="B20" s="11">
        <v>-3.77709009717078</v>
      </c>
      <c r="C20" s="13"/>
      <c r="D20" s="13"/>
      <c r="E20" s="13"/>
    </row>
    <row r="21" ht="13.55" customHeight="1">
      <c r="A21" t="s" s="7">
        <v>71</v>
      </c>
      <c r="B21" s="11">
        <v>0.018556443215437</v>
      </c>
      <c r="C21" s="13"/>
      <c r="D21" s="13"/>
      <c r="E21" s="13"/>
    </row>
    <row r="22" ht="13.55" customHeight="1">
      <c r="A22" t="s" s="7">
        <v>126</v>
      </c>
      <c r="B22" s="11">
        <v>-4.4638143553882</v>
      </c>
      <c r="C22" s="13"/>
      <c r="D22" s="13"/>
      <c r="E22" s="13"/>
    </row>
    <row r="23" ht="13.55" customHeight="1">
      <c r="A23" t="s" s="7">
        <v>58</v>
      </c>
      <c r="B23" s="11">
        <v>1.46004862122864</v>
      </c>
      <c r="C23" s="13"/>
      <c r="D23" s="13"/>
      <c r="E23" s="13"/>
    </row>
    <row r="24" ht="13.55" customHeight="1">
      <c r="A24" t="s" s="7">
        <v>43</v>
      </c>
      <c r="B24" s="11">
        <v>2.62817334380147</v>
      </c>
      <c r="C24" s="13"/>
      <c r="D24" s="13"/>
      <c r="E24" s="13"/>
    </row>
    <row r="25" ht="13.55" customHeight="1">
      <c r="A25" t="s" s="7">
        <v>127</v>
      </c>
      <c r="B25" s="11">
        <v>-4.46999207445372</v>
      </c>
      <c r="C25" s="13"/>
      <c r="D25" s="13"/>
      <c r="E25" s="13"/>
    </row>
    <row r="26" ht="13.55" customHeight="1">
      <c r="A26" t="s" s="7">
        <v>123</v>
      </c>
      <c r="B26" s="11">
        <v>-4.19472030187331</v>
      </c>
      <c r="C26" s="13"/>
      <c r="D26" s="13"/>
      <c r="E26" s="13"/>
    </row>
    <row r="27" ht="13.55" customHeight="1">
      <c r="A27" t="s" s="7">
        <v>95</v>
      </c>
      <c r="B27" s="11">
        <v>-1.92319740027882</v>
      </c>
      <c r="C27" s="13"/>
      <c r="D27" s="13"/>
      <c r="E27" s="13"/>
    </row>
    <row r="28" ht="13.55" customHeight="1">
      <c r="A28" t="s" s="7">
        <v>116</v>
      </c>
      <c r="B28" s="11">
        <v>-3.76562451732892</v>
      </c>
      <c r="C28" s="13"/>
      <c r="D28" s="13"/>
      <c r="E28" s="13"/>
    </row>
    <row r="29" ht="13.55" customHeight="1">
      <c r="A29" t="s" s="7">
        <v>38</v>
      </c>
      <c r="B29" s="11">
        <v>3.19465323054226</v>
      </c>
      <c r="C29" s="13"/>
      <c r="D29" s="13"/>
      <c r="E29" s="13"/>
    </row>
    <row r="30" ht="13.55" customHeight="1">
      <c r="A30" t="s" s="7">
        <v>68</v>
      </c>
      <c r="B30" s="11">
        <v>0.248638585007207</v>
      </c>
      <c r="C30" s="13"/>
      <c r="D30" s="13"/>
      <c r="E30" s="13"/>
    </row>
    <row r="31" ht="13.55" customHeight="1">
      <c r="A31" t="s" s="7">
        <v>92</v>
      </c>
      <c r="B31" s="11">
        <v>-1.87051168400926</v>
      </c>
      <c r="C31" s="13"/>
      <c r="D31" s="13"/>
      <c r="E31" s="13"/>
    </row>
    <row r="32" ht="13.55" customHeight="1">
      <c r="A32" t="s" s="7">
        <v>104</v>
      </c>
      <c r="B32" s="11">
        <v>-2.58914252844136</v>
      </c>
      <c r="C32" s="13"/>
      <c r="D32" s="13"/>
      <c r="E32" s="13"/>
    </row>
    <row r="33" ht="13.55" customHeight="1">
      <c r="A33" t="s" s="7">
        <v>105</v>
      </c>
      <c r="B33" s="11">
        <v>-2.70831005953648</v>
      </c>
      <c r="C33" s="13"/>
      <c r="D33" s="13"/>
      <c r="E33" s="13"/>
    </row>
    <row r="34" ht="13.55" customHeight="1">
      <c r="A34" t="s" s="7">
        <v>32</v>
      </c>
      <c r="B34" s="11">
        <v>3.57260180896642</v>
      </c>
      <c r="C34" s="13"/>
      <c r="D34" s="13"/>
      <c r="E34" s="13"/>
    </row>
    <row r="35" ht="13.55" customHeight="1">
      <c r="A35" t="s" s="7">
        <v>6</v>
      </c>
      <c r="B35" s="11">
        <v>6.89188674772828</v>
      </c>
      <c r="C35" s="13"/>
      <c r="D35" s="13"/>
      <c r="E35" s="13"/>
    </row>
    <row r="36" ht="13.55" customHeight="1">
      <c r="A36" t="s" s="7">
        <v>110</v>
      </c>
      <c r="B36" s="11">
        <v>-3.24214829876599</v>
      </c>
      <c r="C36" s="13"/>
      <c r="D36" s="13"/>
      <c r="E36" s="13"/>
    </row>
    <row r="37" ht="13.55" customHeight="1">
      <c r="A37" t="s" s="7">
        <v>76</v>
      </c>
      <c r="B37" s="11">
        <v>-0.53831981595041</v>
      </c>
      <c r="C37" s="13"/>
      <c r="D37" s="13"/>
      <c r="E37" s="13"/>
    </row>
    <row r="38" ht="13.55" customHeight="1">
      <c r="A38" t="s" s="7">
        <v>133</v>
      </c>
      <c r="B38" s="11">
        <v>-5.55857628514641</v>
      </c>
      <c r="C38" s="13"/>
      <c r="D38" s="13"/>
      <c r="E38" s="13"/>
    </row>
    <row r="39" ht="13.55" customHeight="1">
      <c r="A39" t="s" s="7">
        <v>27</v>
      </c>
      <c r="B39" s="11">
        <v>4.00435455050306</v>
      </c>
      <c r="C39" s="13"/>
      <c r="D39" s="13"/>
      <c r="E39" s="13"/>
    </row>
    <row r="40" ht="13.55" customHeight="1">
      <c r="A40" t="s" s="7">
        <v>13</v>
      </c>
      <c r="B40" s="11">
        <v>5.59129696346212</v>
      </c>
      <c r="C40" s="13"/>
      <c r="D40" s="13"/>
      <c r="E40" s="13"/>
    </row>
    <row r="41" ht="13.55" customHeight="1">
      <c r="A41" t="s" s="7">
        <v>97</v>
      </c>
      <c r="B41" s="11">
        <v>-2.05013712658942</v>
      </c>
      <c r="C41" s="13"/>
      <c r="D41" s="13"/>
      <c r="E41" s="13"/>
    </row>
    <row r="42" ht="13.55" customHeight="1">
      <c r="A42" t="s" s="7">
        <v>118</v>
      </c>
      <c r="B42" s="11">
        <v>-3.83643338464872</v>
      </c>
      <c r="C42" s="13"/>
      <c r="D42" s="13"/>
      <c r="E42" s="13"/>
    </row>
    <row r="43" ht="13.55" customHeight="1">
      <c r="A43" t="s" s="7">
        <v>19</v>
      </c>
      <c r="B43" s="11">
        <v>4.5934517710258</v>
      </c>
      <c r="C43" s="13"/>
      <c r="D43" s="13"/>
      <c r="E43" s="13"/>
    </row>
    <row r="44" ht="13.55" customHeight="1">
      <c r="A44" t="s" s="7">
        <v>61</v>
      </c>
      <c r="B44" s="11">
        <v>0.7599191252438799</v>
      </c>
      <c r="C44" s="13"/>
      <c r="D44" s="13"/>
      <c r="E44" s="13"/>
    </row>
    <row r="45" ht="13.55" customHeight="1">
      <c r="A45" t="s" s="7">
        <v>23</v>
      </c>
      <c r="B45" s="11">
        <v>4.40189201585545</v>
      </c>
      <c r="C45" s="13"/>
      <c r="D45" s="13"/>
      <c r="E45" s="13"/>
    </row>
    <row r="46" ht="13.55" customHeight="1">
      <c r="A46" t="s" s="7">
        <v>41</v>
      </c>
      <c r="B46" s="11">
        <v>2.77908909331727</v>
      </c>
      <c r="C46" s="13"/>
      <c r="D46" s="13"/>
      <c r="E46" s="13"/>
    </row>
    <row r="47" ht="13.55" customHeight="1">
      <c r="A47" t="s" s="7">
        <v>112</v>
      </c>
      <c r="B47" s="11">
        <v>-3.30058825776286</v>
      </c>
      <c r="C47" s="13"/>
      <c r="D47" s="13"/>
      <c r="E47" s="13"/>
    </row>
    <row r="48" ht="13.55" customHeight="1">
      <c r="A48" t="s" s="7">
        <v>111</v>
      </c>
      <c r="B48" s="11">
        <v>-3.28135612625608</v>
      </c>
      <c r="C48" s="13"/>
      <c r="D48" s="13"/>
      <c r="E48" s="13"/>
    </row>
    <row r="49" ht="13.55" customHeight="1">
      <c r="A49" t="s" s="7">
        <v>67</v>
      </c>
      <c r="B49" s="11">
        <v>0.275678160475329</v>
      </c>
      <c r="C49" s="13"/>
      <c r="D49" s="13"/>
      <c r="E49" s="13"/>
    </row>
    <row r="50" ht="13.55" customHeight="1">
      <c r="A50" t="s" s="7">
        <v>20</v>
      </c>
      <c r="B50" s="11">
        <v>4.57875396195659</v>
      </c>
      <c r="C50" s="13"/>
      <c r="D50" s="13"/>
      <c r="E50" s="13"/>
    </row>
    <row r="51" ht="13.55" customHeight="1">
      <c r="A51" t="s" s="7">
        <v>120</v>
      </c>
      <c r="B51" s="11">
        <v>-4.02321925506876</v>
      </c>
      <c r="C51" s="13"/>
      <c r="D51" s="13"/>
      <c r="E51" s="13"/>
    </row>
    <row r="52" ht="13.55" customHeight="1">
      <c r="A52" t="s" s="7">
        <v>129</v>
      </c>
      <c r="B52" s="11">
        <v>-4.82358776660641</v>
      </c>
      <c r="C52" s="13"/>
      <c r="D52" s="13"/>
      <c r="E52" s="13"/>
    </row>
    <row r="53" ht="13.55" customHeight="1">
      <c r="A53" t="s" s="7">
        <v>57</v>
      </c>
      <c r="B53" s="11">
        <v>1.60467129115595</v>
      </c>
      <c r="C53" s="13"/>
      <c r="D53" s="13"/>
      <c r="E53" s="13"/>
    </row>
    <row r="54" ht="13.55" customHeight="1">
      <c r="A54" t="s" s="7">
        <v>31</v>
      </c>
      <c r="B54" s="11">
        <v>3.65492759905113</v>
      </c>
      <c r="C54" s="13"/>
      <c r="D54" s="13"/>
      <c r="E54" s="13"/>
    </row>
    <row r="55" ht="13.55" customHeight="1">
      <c r="A55" t="s" s="7">
        <v>90</v>
      </c>
      <c r="B55" s="11">
        <v>-1.62598908807918</v>
      </c>
      <c r="C55" s="13"/>
      <c r="D55" s="13"/>
      <c r="E55" s="13"/>
    </row>
    <row r="56" ht="13.55" customHeight="1">
      <c r="A56" t="s" s="7">
        <v>88</v>
      </c>
      <c r="B56" s="11">
        <v>-1.35956232001684</v>
      </c>
      <c r="C56" s="13"/>
      <c r="D56" s="13"/>
      <c r="E56" s="13"/>
    </row>
    <row r="57" ht="13.55" customHeight="1">
      <c r="A57" t="s" s="7">
        <v>94</v>
      </c>
      <c r="B57" s="11">
        <v>-1.91272420043442</v>
      </c>
      <c r="C57" s="13"/>
      <c r="D57" s="13"/>
      <c r="E57" s="13"/>
    </row>
    <row r="58" ht="13.55" customHeight="1">
      <c r="A58" t="s" s="7">
        <v>24</v>
      </c>
      <c r="B58" s="11">
        <v>4.31123264075225</v>
      </c>
      <c r="C58" s="13"/>
      <c r="D58" s="13"/>
      <c r="E58" s="13"/>
    </row>
    <row r="59" ht="13.55" customHeight="1">
      <c r="A59" t="s" s="7">
        <v>84</v>
      </c>
      <c r="B59" s="11">
        <v>-1.04555922522911</v>
      </c>
      <c r="C59" s="13"/>
      <c r="D59" s="13"/>
      <c r="E59" s="13"/>
    </row>
    <row r="60" ht="13.55" customHeight="1">
      <c r="A60" t="s" s="7">
        <v>65</v>
      </c>
      <c r="B60" s="11">
        <v>0.5243959583097469</v>
      </c>
      <c r="C60" s="13"/>
      <c r="D60" s="13"/>
      <c r="E60" s="13"/>
    </row>
    <row r="61" ht="13.55" customHeight="1">
      <c r="A61" t="s" s="7">
        <v>55</v>
      </c>
      <c r="B61" s="11">
        <v>1.61968253185873</v>
      </c>
      <c r="C61" s="13"/>
      <c r="D61" s="13"/>
      <c r="E61" s="13"/>
    </row>
    <row r="62" ht="13.55" customHeight="1">
      <c r="A62" t="s" s="7">
        <v>87</v>
      </c>
      <c r="B62" s="11">
        <v>-1.20871388306861</v>
      </c>
      <c r="C62" s="13"/>
      <c r="D62" s="13"/>
      <c r="E62" s="13"/>
    </row>
    <row r="63" ht="13.55" customHeight="1">
      <c r="A63" t="s" s="7">
        <v>18</v>
      </c>
      <c r="B63" s="11">
        <v>5.0922019441117</v>
      </c>
      <c r="C63" s="13"/>
      <c r="D63" s="13"/>
      <c r="E63" s="13"/>
    </row>
    <row r="64" ht="13.55" customHeight="1">
      <c r="A64" t="s" s="7">
        <v>80</v>
      </c>
      <c r="B64" s="11">
        <v>-0.84768132374283</v>
      </c>
      <c r="C64" s="13"/>
      <c r="D64" s="13"/>
      <c r="E64" s="13"/>
    </row>
    <row r="65" ht="13.55" customHeight="1">
      <c r="A65" t="s" s="7">
        <v>28</v>
      </c>
      <c r="B65" s="11">
        <v>3.94267847649009</v>
      </c>
      <c r="C65" s="13"/>
      <c r="D65" s="13"/>
      <c r="E65" s="13"/>
    </row>
    <row r="66" ht="13.55" customHeight="1">
      <c r="A66" t="s" s="7">
        <v>138</v>
      </c>
      <c r="B66" s="11">
        <v>-7.42780318353212</v>
      </c>
      <c r="C66" s="13"/>
      <c r="D66" s="13"/>
      <c r="E66" s="13"/>
    </row>
    <row r="67" ht="13.55" customHeight="1">
      <c r="A67" t="s" s="7">
        <v>81</v>
      </c>
      <c r="B67" s="11">
        <v>-0.88177362772117</v>
      </c>
      <c r="C67" s="13"/>
      <c r="D67" s="13"/>
      <c r="E67" s="13"/>
    </row>
    <row r="68" ht="13.55" customHeight="1">
      <c r="A68" t="s" s="7">
        <v>34</v>
      </c>
      <c r="B68" s="11">
        <v>3.46082209671099</v>
      </c>
      <c r="C68" s="13"/>
      <c r="D68" s="13"/>
      <c r="E68" s="13"/>
    </row>
    <row r="69" ht="13.55" customHeight="1">
      <c r="A69" t="s" s="7">
        <v>14</v>
      </c>
      <c r="B69" s="11">
        <v>5.51360480483848</v>
      </c>
      <c r="C69" s="13"/>
      <c r="D69" s="13"/>
      <c r="E69" s="13"/>
    </row>
    <row r="70" ht="13.55" customHeight="1">
      <c r="A70" t="s" s="7">
        <v>109</v>
      </c>
      <c r="B70" s="11">
        <v>-3.17082421974611</v>
      </c>
      <c r="C70" s="13"/>
      <c r="D70" s="13"/>
      <c r="E70" s="13"/>
    </row>
    <row r="71" ht="13.55" customHeight="1">
      <c r="A71" t="s" s="7">
        <v>26</v>
      </c>
      <c r="B71" s="11">
        <v>4.01425721966897</v>
      </c>
      <c r="C71" s="13"/>
      <c r="D71" s="13"/>
      <c r="E71" s="13"/>
    </row>
    <row r="72" ht="13.55" customHeight="1">
      <c r="A72" t="s" s="7">
        <v>124</v>
      </c>
      <c r="B72" s="11">
        <v>-4.3473535064778</v>
      </c>
      <c r="C72" s="13"/>
      <c r="D72" s="13"/>
      <c r="E72" s="13"/>
    </row>
    <row r="73" ht="13.55" customHeight="1">
      <c r="A73" t="s" s="7">
        <v>36</v>
      </c>
      <c r="B73" s="11">
        <v>3.26105716610947</v>
      </c>
      <c r="C73" s="13"/>
      <c r="D73" s="13"/>
      <c r="E73" s="13"/>
    </row>
    <row r="74" ht="13.55" customHeight="1">
      <c r="A74" t="s" s="7">
        <v>63</v>
      </c>
      <c r="B74" s="11">
        <v>0.59579451619031</v>
      </c>
      <c r="C74" s="13"/>
      <c r="D74" s="13"/>
      <c r="E74" s="13"/>
    </row>
    <row r="75" ht="13.55" customHeight="1">
      <c r="A75" t="s" s="7">
        <v>37</v>
      </c>
      <c r="B75" s="11">
        <v>3.24335785314622</v>
      </c>
      <c r="C75" s="13"/>
      <c r="D75" s="13"/>
      <c r="E75" s="13"/>
    </row>
    <row r="76" ht="13.55" customHeight="1">
      <c r="A76" t="s" s="7">
        <v>51</v>
      </c>
      <c r="B76" s="11">
        <v>1.92271517987119</v>
      </c>
      <c r="C76" s="13"/>
      <c r="D76" s="13"/>
      <c r="E76" s="13"/>
    </row>
    <row r="77" ht="13.55" customHeight="1">
      <c r="A77" t="s" s="7">
        <v>121</v>
      </c>
      <c r="B77" s="11">
        <v>-4.08640151456241</v>
      </c>
      <c r="C77" s="13"/>
      <c r="D77" s="13"/>
      <c r="E77" s="13"/>
    </row>
    <row r="78" ht="13.55" customHeight="1">
      <c r="A78" t="s" s="7">
        <v>106</v>
      </c>
      <c r="B78" s="11">
        <v>-2.74762863241334</v>
      </c>
      <c r="C78" s="13"/>
      <c r="D78" s="13"/>
      <c r="E78" s="13"/>
    </row>
    <row r="79" ht="13.55" customHeight="1">
      <c r="A79" t="s" s="7">
        <v>54</v>
      </c>
      <c r="B79" s="11">
        <v>1.67670283281755</v>
      </c>
      <c r="C79" s="13"/>
      <c r="D79" s="13"/>
      <c r="E79" s="13"/>
    </row>
    <row r="80" ht="13.55" customHeight="1">
      <c r="A80" t="s" s="7">
        <v>79</v>
      </c>
      <c r="B80" s="11">
        <v>-0.836360098479986</v>
      </c>
      <c r="C80" s="13"/>
      <c r="D80" s="13"/>
      <c r="E80" s="13"/>
    </row>
    <row r="81" ht="13.55" customHeight="1">
      <c r="A81" t="s" s="7">
        <v>85</v>
      </c>
      <c r="B81" s="11">
        <v>-1.16950431848081</v>
      </c>
      <c r="C81" s="13"/>
      <c r="D81" s="13"/>
      <c r="E81" s="13"/>
    </row>
    <row r="82" ht="13.55" customHeight="1">
      <c r="A82" t="s" s="7">
        <v>5</v>
      </c>
      <c r="B82" s="11">
        <v>7.75371529836661</v>
      </c>
      <c r="C82" s="13"/>
      <c r="D82" s="13"/>
      <c r="E82" s="13"/>
    </row>
    <row r="83" ht="13.55" customHeight="1">
      <c r="A83" t="s" s="7">
        <v>16</v>
      </c>
      <c r="B83" s="11">
        <v>5.27483839422214</v>
      </c>
      <c r="C83" s="13"/>
      <c r="D83" s="13"/>
      <c r="E83" s="13"/>
    </row>
    <row r="84" ht="13.55" customHeight="1">
      <c r="A84" t="s" s="7">
        <v>83</v>
      </c>
      <c r="B84" s="11">
        <v>-1.04226754877399</v>
      </c>
      <c r="C84" s="13"/>
      <c r="D84" s="13"/>
      <c r="E84" s="13"/>
    </row>
    <row r="85" ht="13.55" customHeight="1">
      <c r="A85" t="s" s="7">
        <v>114</v>
      </c>
      <c r="B85" s="11">
        <v>-3.48946206869539</v>
      </c>
      <c r="C85" s="13"/>
      <c r="D85" s="13"/>
      <c r="E85" s="13"/>
    </row>
    <row r="86" ht="13.55" customHeight="1">
      <c r="A86" t="s" s="7">
        <v>11</v>
      </c>
      <c r="B86" s="11">
        <v>5.67199536229164</v>
      </c>
      <c r="C86" s="13"/>
      <c r="D86" s="13"/>
      <c r="E86" s="13"/>
    </row>
    <row r="87" ht="13.55" customHeight="1">
      <c r="A87" t="s" s="7">
        <v>70</v>
      </c>
      <c r="B87" s="11">
        <v>0.14360151048081</v>
      </c>
      <c r="C87" s="13"/>
      <c r="D87" s="13"/>
      <c r="E87" s="13"/>
    </row>
    <row r="88" ht="13.55" customHeight="1">
      <c r="A88" t="s" s="7">
        <v>113</v>
      </c>
      <c r="B88" s="11">
        <v>-3.33099720766006</v>
      </c>
      <c r="C88" s="13"/>
      <c r="D88" s="13"/>
      <c r="E88" s="13"/>
    </row>
    <row r="89" ht="13.55" customHeight="1">
      <c r="A89" t="s" s="7">
        <v>7</v>
      </c>
      <c r="B89" s="11">
        <v>6.81991318008486</v>
      </c>
      <c r="C89" s="13"/>
      <c r="D89" s="13"/>
      <c r="E89" s="13"/>
    </row>
    <row r="90" ht="13.55" customHeight="1">
      <c r="A90" t="s" s="7">
        <v>39</v>
      </c>
      <c r="B90" s="11">
        <v>3.10202729206284</v>
      </c>
      <c r="C90" s="13"/>
      <c r="D90" s="13"/>
      <c r="E90" s="13"/>
    </row>
    <row r="91" ht="13.55" customHeight="1">
      <c r="A91" t="s" s="7">
        <v>45</v>
      </c>
      <c r="B91" s="11">
        <v>2.3773723661694</v>
      </c>
      <c r="C91" s="13"/>
      <c r="D91" s="13"/>
      <c r="E91" s="13"/>
    </row>
    <row r="92" ht="13.55" customHeight="1">
      <c r="A92" t="s" s="7">
        <v>91</v>
      </c>
      <c r="B92" s="11">
        <v>-1.86915335849158</v>
      </c>
      <c r="C92" s="13"/>
      <c r="D92" s="13"/>
      <c r="E92" s="13"/>
    </row>
    <row r="93" ht="13.55" customHeight="1">
      <c r="A93" t="s" s="7">
        <v>135</v>
      </c>
      <c r="B93" s="11">
        <v>-5.91317296171246</v>
      </c>
      <c r="C93" s="13"/>
      <c r="D93" s="13"/>
      <c r="E93" s="13"/>
    </row>
    <row r="94" ht="13.55" customHeight="1">
      <c r="A94" t="s" s="7">
        <v>89</v>
      </c>
      <c r="B94" s="11">
        <v>-1.465873424251</v>
      </c>
      <c r="C94" s="13"/>
      <c r="D94" s="13"/>
      <c r="E94" s="13"/>
    </row>
    <row r="95" ht="13.55" customHeight="1">
      <c r="A95" t="s" s="7">
        <v>108</v>
      </c>
      <c r="B95" s="11">
        <v>-2.91762373109868</v>
      </c>
      <c r="C95" s="13"/>
      <c r="D95" s="13"/>
      <c r="E95" s="13"/>
    </row>
    <row r="96" ht="13.55" customHeight="1">
      <c r="A96" t="s" s="7">
        <v>64</v>
      </c>
      <c r="B96" s="11">
        <v>0.5861765857014</v>
      </c>
      <c r="C96" s="13"/>
      <c r="D96" s="13"/>
      <c r="E96" s="13"/>
    </row>
    <row r="97" ht="13.55" customHeight="1">
      <c r="A97" t="s" s="7">
        <v>9</v>
      </c>
      <c r="B97" s="11">
        <v>6.03187766748243</v>
      </c>
      <c r="C97" s="13"/>
      <c r="D97" s="13"/>
      <c r="E97" s="13"/>
    </row>
    <row r="98" ht="13.55" customHeight="1">
      <c r="A98" t="s" s="7">
        <v>134</v>
      </c>
      <c r="B98" s="11">
        <v>-5.69069429802854</v>
      </c>
      <c r="C98" s="13"/>
      <c r="D98" s="13"/>
      <c r="E98" s="13"/>
    </row>
    <row r="99" ht="13.55" customHeight="1">
      <c r="A99" t="s" s="7">
        <v>47</v>
      </c>
      <c r="B99" s="11">
        <v>2.18077992877894</v>
      </c>
      <c r="C99" s="13"/>
      <c r="D99" s="13"/>
      <c r="E99" s="13"/>
    </row>
    <row r="100" ht="13.55" customHeight="1">
      <c r="A100" t="s" s="7">
        <v>103</v>
      </c>
      <c r="B100" s="11">
        <v>-2.57170378386919</v>
      </c>
      <c r="C100" s="13"/>
      <c r="D100" s="13"/>
      <c r="E100" s="13"/>
    </row>
    <row r="101" ht="13.55" customHeight="1">
      <c r="A101" t="s" s="7">
        <v>42</v>
      </c>
      <c r="B101" s="11">
        <v>2.74320770982259</v>
      </c>
      <c r="C101" s="13"/>
      <c r="D101" s="13"/>
      <c r="E101" s="13"/>
    </row>
    <row r="102" ht="13.55" customHeight="1">
      <c r="A102" t="s" s="7">
        <v>119</v>
      </c>
      <c r="B102" s="11">
        <v>-3.95691937561155</v>
      </c>
      <c r="C102" s="13"/>
      <c r="D102" s="13"/>
      <c r="E102" s="13"/>
    </row>
    <row r="103" ht="13.55" customHeight="1">
      <c r="A103" t="s" s="7">
        <v>73</v>
      </c>
      <c r="B103" s="11">
        <v>-0.42667333775956</v>
      </c>
      <c r="C103" s="13"/>
      <c r="D103" s="13"/>
      <c r="E103" s="13"/>
    </row>
    <row r="104" ht="13.55" customHeight="1">
      <c r="A104" t="s" s="7">
        <v>125</v>
      </c>
      <c r="B104" s="11">
        <v>-4.34735517155842</v>
      </c>
      <c r="C104" s="13"/>
      <c r="D104" s="13"/>
      <c r="E104" s="13"/>
    </row>
    <row r="105" ht="13.55" customHeight="1">
      <c r="A105" t="s" s="7">
        <v>33</v>
      </c>
      <c r="B105" s="11">
        <v>3.47491832350742</v>
      </c>
      <c r="C105" s="13"/>
      <c r="D105" s="13"/>
      <c r="E105" s="13"/>
    </row>
    <row r="106" ht="13.55" customHeight="1">
      <c r="A106" t="s" s="7">
        <v>115</v>
      </c>
      <c r="B106" s="11">
        <v>-3.65935390300287</v>
      </c>
      <c r="C106" s="13"/>
      <c r="D106" s="13"/>
      <c r="E106" s="13"/>
    </row>
    <row r="107" ht="13.55" customHeight="1">
      <c r="A107" t="s" s="7">
        <v>29</v>
      </c>
      <c r="B107" s="11">
        <v>3.90358287595508</v>
      </c>
      <c r="C107" s="13"/>
      <c r="D107" s="13"/>
      <c r="E107" s="13"/>
    </row>
    <row r="108" ht="13.55" customHeight="1">
      <c r="A108" t="s" s="7">
        <v>25</v>
      </c>
      <c r="B108" s="11">
        <v>4.26570683475592</v>
      </c>
      <c r="C108" s="13"/>
      <c r="D108" s="13"/>
      <c r="E108" s="13"/>
    </row>
    <row r="109" ht="13.55" customHeight="1">
      <c r="A109" t="s" s="7">
        <v>78</v>
      </c>
      <c r="B109" s="11">
        <v>-0.7722108176382</v>
      </c>
      <c r="C109" s="13"/>
      <c r="D109" s="13"/>
      <c r="E109" s="13"/>
    </row>
    <row r="110" ht="13.55" customHeight="1">
      <c r="A110" t="s" s="7">
        <v>12</v>
      </c>
      <c r="B110" s="11">
        <v>5.59982769875114</v>
      </c>
      <c r="C110" s="13"/>
      <c r="D110" s="13"/>
      <c r="E110" s="13"/>
    </row>
    <row r="111" ht="13.55" customHeight="1">
      <c r="A111" t="s" s="7">
        <v>10</v>
      </c>
      <c r="B111" s="11">
        <v>5.98822025778287</v>
      </c>
      <c r="C111" s="13"/>
      <c r="D111" s="13"/>
      <c r="E111" s="13"/>
    </row>
    <row r="112" ht="13.55" customHeight="1">
      <c r="A112" t="s" s="7">
        <v>22</v>
      </c>
      <c r="B112" s="11">
        <v>4.55887600155886</v>
      </c>
      <c r="C112" s="13"/>
      <c r="D112" s="13"/>
      <c r="E112" s="13"/>
    </row>
    <row r="113" ht="13.55" customHeight="1">
      <c r="A113" t="s" s="7">
        <v>107</v>
      </c>
      <c r="B113" s="11">
        <v>-2.79254134979256</v>
      </c>
      <c r="C113" s="13"/>
      <c r="D113" s="13"/>
      <c r="E113" s="13"/>
    </row>
    <row r="114" ht="13.55" customHeight="1">
      <c r="A114" t="s" s="7">
        <v>21</v>
      </c>
      <c r="B114" s="11">
        <v>4.55913673980902</v>
      </c>
      <c r="C114" s="13"/>
      <c r="D114" s="13"/>
      <c r="E114" s="13"/>
    </row>
    <row r="115" ht="13.55" customHeight="1">
      <c r="A115" t="s" s="7">
        <v>98</v>
      </c>
      <c r="B115" s="11">
        <v>-2.14818495614045</v>
      </c>
      <c r="C115" s="13"/>
      <c r="D115" s="13"/>
      <c r="E115" s="13"/>
    </row>
    <row r="116" ht="13.55" customHeight="1">
      <c r="A116" t="s" s="7">
        <v>131</v>
      </c>
      <c r="B116" s="11">
        <v>-5.2111720771302</v>
      </c>
      <c r="C116" s="13"/>
      <c r="D116" s="13"/>
      <c r="E116" s="13"/>
    </row>
    <row r="117" ht="13.55" customHeight="1">
      <c r="A117" t="s" s="7">
        <v>100</v>
      </c>
      <c r="B117" s="11">
        <v>-2.2314514587537</v>
      </c>
      <c r="C117" s="13"/>
      <c r="D117" s="13"/>
      <c r="E117" s="13"/>
    </row>
    <row r="118" ht="13.55" customHeight="1">
      <c r="A118" t="s" s="7">
        <v>72</v>
      </c>
      <c r="B118" s="11">
        <v>-0.11442308333701</v>
      </c>
      <c r="C118" s="13"/>
      <c r="D118" s="13"/>
      <c r="E118" s="13"/>
    </row>
    <row r="119" ht="13.55" customHeight="1">
      <c r="A119" t="s" s="7">
        <v>66</v>
      </c>
      <c r="B119" s="11">
        <v>0.29521010233505</v>
      </c>
      <c r="C119" s="13"/>
      <c r="D119" s="13"/>
      <c r="E119" s="13"/>
    </row>
    <row r="120" ht="13.55" customHeight="1">
      <c r="A120" t="s" s="7">
        <v>130</v>
      </c>
      <c r="B120" s="11">
        <v>-5.03311458515405</v>
      </c>
      <c r="C120" s="13"/>
      <c r="D120" s="13"/>
      <c r="E120" s="13"/>
    </row>
    <row r="121" ht="13.55" customHeight="1">
      <c r="A121" t="s" s="7">
        <v>140</v>
      </c>
      <c r="B121" s="11">
        <v>-9.31654300434057</v>
      </c>
      <c r="C121" s="13"/>
      <c r="D121" s="13"/>
      <c r="E121" s="13"/>
    </row>
    <row r="122" ht="13.55" customHeight="1">
      <c r="A122" t="s" s="7">
        <v>69</v>
      </c>
      <c r="B122" s="11">
        <v>0.20014218519344</v>
      </c>
      <c r="C122" s="13"/>
      <c r="D122" s="13"/>
      <c r="E122" s="13"/>
    </row>
    <row r="123" ht="13.55" customHeight="1">
      <c r="A123" t="s" s="7">
        <v>8</v>
      </c>
      <c r="B123" s="11">
        <v>6.10756515153678</v>
      </c>
      <c r="C123" s="13"/>
      <c r="D123" s="13"/>
      <c r="E123" s="13"/>
    </row>
    <row r="124" ht="13.55" customHeight="1">
      <c r="A124" t="s" s="7">
        <v>99</v>
      </c>
      <c r="B124" s="11">
        <v>-2.17781183627959</v>
      </c>
      <c r="C124" s="13"/>
      <c r="D124" s="13"/>
      <c r="E124" s="13"/>
    </row>
    <row r="125" ht="13.55" customHeight="1">
      <c r="A125" t="s" s="7">
        <v>53</v>
      </c>
      <c r="B125" s="11">
        <v>1.80226153055653</v>
      </c>
      <c r="C125" s="13"/>
      <c r="D125" s="13"/>
      <c r="E125" s="13"/>
    </row>
    <row r="126" ht="13.55" customHeight="1">
      <c r="A126" t="s" s="7">
        <v>132</v>
      </c>
      <c r="B126" s="11">
        <v>-5.53252093819443</v>
      </c>
      <c r="C126" s="13"/>
      <c r="D126" s="13"/>
      <c r="E126" s="13"/>
    </row>
    <row r="127" ht="13.55" customHeight="1">
      <c r="A127" t="s" s="7">
        <v>15</v>
      </c>
      <c r="B127" s="11">
        <v>5.46568762547505</v>
      </c>
      <c r="C127" s="13"/>
      <c r="D127" s="13"/>
      <c r="E127" s="13"/>
    </row>
    <row r="128" ht="13.55" customHeight="1">
      <c r="A128" t="s" s="7">
        <v>30</v>
      </c>
      <c r="B128" s="11">
        <v>3.69943647894699</v>
      </c>
      <c r="C128" s="13"/>
      <c r="D128" s="13"/>
      <c r="E128" s="13"/>
    </row>
    <row r="129" ht="13.55" customHeight="1">
      <c r="A129" t="s" s="7">
        <v>82</v>
      </c>
      <c r="B129" s="11">
        <v>-1.01281078608949</v>
      </c>
      <c r="C129" s="13"/>
      <c r="D129" s="13"/>
      <c r="E129" s="13"/>
    </row>
    <row r="130" ht="13.55" customHeight="1">
      <c r="A130" t="s" s="7">
        <v>40</v>
      </c>
      <c r="B130" s="11">
        <v>2.81548972381729</v>
      </c>
      <c r="C130" s="13"/>
      <c r="D130" s="13"/>
      <c r="E130" s="13"/>
    </row>
    <row r="131" ht="13.55" customHeight="1">
      <c r="A131" t="s" s="7">
        <v>96</v>
      </c>
      <c r="B131" s="11">
        <v>-1.92985341790185</v>
      </c>
      <c r="C131" s="13"/>
      <c r="D131" s="13"/>
      <c r="E131" s="13"/>
    </row>
    <row r="132" ht="13.55" customHeight="1">
      <c r="A132" t="s" s="7">
        <v>59</v>
      </c>
      <c r="B132" s="11">
        <v>1.35598510611147</v>
      </c>
      <c r="C132" s="13"/>
      <c r="D132" s="13"/>
      <c r="E132" s="13"/>
    </row>
    <row r="133" ht="13.55" customHeight="1">
      <c r="A133" t="s" s="7">
        <v>60</v>
      </c>
      <c r="B133" s="11">
        <v>1.18530535993094</v>
      </c>
      <c r="C133" s="13"/>
      <c r="D133" s="13"/>
      <c r="E133" s="13"/>
    </row>
    <row r="134" ht="13.55" customHeight="1">
      <c r="A134" t="s" s="7">
        <v>93</v>
      </c>
      <c r="B134" s="11">
        <v>-1.89357854452855</v>
      </c>
      <c r="C134" s="13"/>
      <c r="D134" s="13"/>
      <c r="E134" s="13"/>
    </row>
    <row r="135" ht="13.55" customHeight="1">
      <c r="A135" t="s" s="7">
        <v>49</v>
      </c>
      <c r="B135" s="11">
        <v>2.02733086035033</v>
      </c>
      <c r="C135" s="13"/>
      <c r="D135" s="13"/>
      <c r="E135" s="13"/>
    </row>
    <row r="136" ht="13.55" customHeight="1">
      <c r="A136" t="s" s="7">
        <v>35</v>
      </c>
      <c r="B136" s="11">
        <v>3.31512010809599</v>
      </c>
      <c r="C136" s="13"/>
      <c r="D136" s="13"/>
      <c r="E136" s="13"/>
    </row>
    <row r="137" ht="13.55" customHeight="1">
      <c r="A137" t="s" s="7">
        <v>50</v>
      </c>
      <c r="B137" s="11">
        <v>1.94954402902408</v>
      </c>
      <c r="C137" s="13"/>
      <c r="D137" s="13"/>
      <c r="E137" s="13"/>
    </row>
    <row r="138" ht="13.55" customHeight="1">
      <c r="A138" t="s" s="7">
        <v>128</v>
      </c>
      <c r="B138" s="11">
        <v>-4.71872907684507</v>
      </c>
      <c r="C138" s="13"/>
      <c r="D138" s="13"/>
      <c r="E138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